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ita\Downloads\"/>
    </mc:Choice>
  </mc:AlternateContent>
  <xr:revisionPtr revIDLastSave="0" documentId="13_ncr:1_{0F9F908B-07AD-4FE7-8B77-39252647B491}" xr6:coauthVersionLast="47" xr6:coauthVersionMax="47" xr10:uidLastSave="{00000000-0000-0000-0000-000000000000}"/>
  <bookViews>
    <workbookView xWindow="-120" yWindow="-120" windowWidth="29040" windowHeight="15720" activeTab="4" xr2:uid="{00000000-000D-0000-FFFF-FFFF00000000}"/>
  </bookViews>
  <sheets>
    <sheet name="Reference Guide" sheetId="5" r:id="rId1"/>
    <sheet name="Task 1" sheetId="1" r:id="rId2"/>
    <sheet name="Task 2" sheetId="2" r:id="rId3"/>
    <sheet name="Task 3" sheetId="3" r:id="rId4"/>
    <sheet name="Task 4"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9" i="2" l="1"/>
  <c r="D59" i="2"/>
  <c r="D62" i="2"/>
  <c r="E74" i="2"/>
  <c r="E75" i="2"/>
  <c r="E76" i="2"/>
  <c r="E77" i="2"/>
</calcChain>
</file>

<file path=xl/sharedStrings.xml><?xml version="1.0" encoding="utf-8"?>
<sst xmlns="http://schemas.openxmlformats.org/spreadsheetml/2006/main" count="283" uniqueCount="165">
  <si>
    <t>Trial Balance</t>
  </si>
  <si>
    <t>Description</t>
  </si>
  <si>
    <t>Account Type</t>
  </si>
  <si>
    <t>Statement</t>
  </si>
  <si>
    <t>Cash</t>
  </si>
  <si>
    <t>Asset</t>
  </si>
  <si>
    <t>Balance Sheet</t>
  </si>
  <si>
    <t>Accounts Receivable</t>
  </si>
  <si>
    <t>Allowance For Doubtful Accounts</t>
  </si>
  <si>
    <t>Inventory</t>
  </si>
  <si>
    <t>Fixed Assets</t>
  </si>
  <si>
    <t>Prepaid Rent</t>
  </si>
  <si>
    <t>Prepaid Insurance</t>
  </si>
  <si>
    <t>Municipal Bond Interest</t>
  </si>
  <si>
    <t>Machinery And Equipment - Gym Appliances</t>
  </si>
  <si>
    <t>Computer Equipment</t>
  </si>
  <si>
    <t>Accounts Payable</t>
  </si>
  <si>
    <t>Liability</t>
  </si>
  <si>
    <t>Accrued Bonus</t>
  </si>
  <si>
    <t>Accrued Commissions</t>
  </si>
  <si>
    <t>Taxes Payable</t>
  </si>
  <si>
    <t>Accrued Vacation</t>
  </si>
  <si>
    <t>Other Accruals</t>
  </si>
  <si>
    <t>Deferred Revenue</t>
  </si>
  <si>
    <t>Accumulated Depreciation</t>
  </si>
  <si>
    <t>Retained Earnings</t>
  </si>
  <si>
    <t>Equity</t>
  </si>
  <si>
    <t>Sales Revenue</t>
  </si>
  <si>
    <t>Revenue</t>
  </si>
  <si>
    <t>Income Statement</t>
  </si>
  <si>
    <t>Service Revenue</t>
  </si>
  <si>
    <t>Interest Revenue</t>
  </si>
  <si>
    <t>Other Revenue</t>
  </si>
  <si>
    <t>Cost Of Goods Sold</t>
  </si>
  <si>
    <t>Expense</t>
  </si>
  <si>
    <t>Bad Debt Expense</t>
  </si>
  <si>
    <t>Meals</t>
  </si>
  <si>
    <t>Entertainment</t>
  </si>
  <si>
    <t>Travel</t>
  </si>
  <si>
    <t>Rent Expense</t>
  </si>
  <si>
    <t>Salaries and Wages</t>
  </si>
  <si>
    <t>Commissions</t>
  </si>
  <si>
    <t>General and Administrative</t>
  </si>
  <si>
    <t>Vacation Expense</t>
  </si>
  <si>
    <t>Bonus</t>
  </si>
  <si>
    <t>Utilities &amp; Electricity</t>
  </si>
  <si>
    <t>Depreciation Expense</t>
  </si>
  <si>
    <t>Donations</t>
  </si>
  <si>
    <t>Advertising Expense</t>
  </si>
  <si>
    <t>Office Supplies</t>
  </si>
  <si>
    <t>Memberships and Dues</t>
  </si>
  <si>
    <t>Taxes</t>
  </si>
  <si>
    <t>Period Ending December 31, 2024</t>
  </si>
  <si>
    <t>Part 1</t>
  </si>
  <si>
    <t xml:space="preserve">Book-to-tax differences (BTDs) are adjustments that cause book income to differ from taxable income and can come in the form of either permanent adjustments or temporary adjustments. </t>
  </si>
  <si>
    <t xml:space="preserve">A permanent adjustment is a difference between book and tax that will never be reversed, while a temporary adjustment is a timing difference that will eventually reverse itself. </t>
  </si>
  <si>
    <t xml:space="preserve">When working to get to taxable income, you will have to keep track of permanent differences that will only affect your taxable income in the current year, </t>
  </si>
  <si>
    <t>as well temporary differences, which affect your taxable income in multiple periods. Determine whether the book-to-tax differences below are permanent or temporary.</t>
  </si>
  <si>
    <t>Book-to-tax Difference</t>
  </si>
  <si>
    <t>Adjustment Type</t>
  </si>
  <si>
    <t>Federal income tax expense</t>
  </si>
  <si>
    <t>Permanent</t>
  </si>
  <si>
    <t>Accrued Compensation</t>
  </si>
  <si>
    <t>Temporary</t>
  </si>
  <si>
    <t>Meals and Entertainment</t>
  </si>
  <si>
    <t>Fines and Penalties</t>
  </si>
  <si>
    <t>Membership Dues (Social Organization)</t>
  </si>
  <si>
    <t>Part 2</t>
  </si>
  <si>
    <t xml:space="preserve">BTDs, also referred to as m-adjustments, can be favorable or unfavorable. </t>
  </si>
  <si>
    <t>An unfavorable adjustment increases book income to compute taxable income, in other words it increases your taxable income.</t>
  </si>
  <si>
    <t>A favorable adjustment is subtracted from book income to compute taxable income, in other words it decreases your taxable income.</t>
  </si>
  <si>
    <t>Unfavorable</t>
  </si>
  <si>
    <t>Favorable</t>
  </si>
  <si>
    <t>Varies</t>
  </si>
  <si>
    <t>Part 3</t>
  </si>
  <si>
    <t xml:space="preserve">Please calculate the BTD below. Then identify whether it is a permanent adjustment or a temporary adjustment. </t>
  </si>
  <si>
    <t>Please also explain whether the adjustment is favorable or unfavorable and why.</t>
  </si>
  <si>
    <t>The snip below is from the IRS website. Please use it to determine tax depreciation for this question.</t>
  </si>
  <si>
    <t>Depreciation M-Adjustment</t>
  </si>
  <si>
    <t>Bonus Depreciation (Tax vs. Book)</t>
  </si>
  <si>
    <t>For book purposes, companies typically spread the cost of an asset over its useful life (depreciation).</t>
  </si>
  <si>
    <t>For tax purposes, companies may be able to deduct a large portion or all of the cost in the year the asset is placed in service (bonus depreciation).</t>
  </si>
  <si>
    <t>This creates a temporary difference because tax depreciation is taken faster than book depreciation.</t>
  </si>
  <si>
    <t>Source: IRS Publication 946 (https://www.irs.gov/publications/p946)</t>
  </si>
  <si>
    <r>
      <rPr>
        <b/>
        <sz val="11"/>
        <color theme="1"/>
        <rFont val="Calibri"/>
        <family val="2"/>
      </rPr>
      <t xml:space="preserve">Note: </t>
    </r>
    <r>
      <rPr>
        <sz val="11"/>
        <color theme="1"/>
        <rFont val="Calibri"/>
        <family val="2"/>
      </rPr>
      <t>When entering the BTD, also mark Favorable/Unfavorable in the cell below and explain “why” in Notes column as needed.</t>
    </r>
  </si>
  <si>
    <t>Book Depreciation</t>
  </si>
  <si>
    <t>Tax Depreciation</t>
  </si>
  <si>
    <t xml:space="preserve">BTD </t>
  </si>
  <si>
    <t>Favorable/Unfavorable</t>
  </si>
  <si>
    <t>Notes</t>
  </si>
  <si>
    <t>Taxable income will be reduced in this amount for this year.</t>
  </si>
  <si>
    <t xml:space="preserve">Therefore the difference will reverse in future periods. </t>
  </si>
  <si>
    <t>Part 4</t>
  </si>
  <si>
    <t>Using the information from Part 3 above, calculate the BTD for Year 2026-2029 for the same asset.</t>
  </si>
  <si>
    <t>Year</t>
  </si>
  <si>
    <t>Book-to-tax difference</t>
  </si>
  <si>
    <t>Accounts</t>
  </si>
  <si>
    <t>Taxable Income</t>
  </si>
  <si>
    <t>Key</t>
  </si>
  <si>
    <t>Formula driven</t>
  </si>
  <si>
    <t>Amount Provided</t>
  </si>
  <si>
    <t>Student Answer</t>
  </si>
  <si>
    <t>Book Income</t>
  </si>
  <si>
    <t>Net Income (Loss)</t>
  </si>
  <si>
    <t>Add Back:</t>
  </si>
  <si>
    <t>Federal Income Tax Expense</t>
  </si>
  <si>
    <t>Pre-Tax Income (Loss)</t>
  </si>
  <si>
    <t>Permanent Differences</t>
  </si>
  <si>
    <t>Meals &amp; Entertainment</t>
  </si>
  <si>
    <t>Club Dues</t>
  </si>
  <si>
    <t>Fines &amp; Penalties</t>
  </si>
  <si>
    <t>Tax-exempt Interest</t>
  </si>
  <si>
    <t>Total Permanent Differences</t>
  </si>
  <si>
    <t>Temporary Differences</t>
  </si>
  <si>
    <t>Depreciation</t>
  </si>
  <si>
    <t>Total Temporary Differences</t>
  </si>
  <si>
    <t>Federal Taxable Income</t>
  </si>
  <si>
    <t>Tax Rate</t>
  </si>
  <si>
    <t>Total Tax</t>
  </si>
  <si>
    <t>Microtech Inc.</t>
  </si>
  <si>
    <t>This is a temporary adjustment. Microtech Inc. will continue to depreciate it's asset and will eventually have $50,000 of depreciation expense for book.</t>
  </si>
  <si>
    <t>For Tax purposes Microtech Inc. uses bonus depreciation. Assume the new asset is qualified property.</t>
  </si>
  <si>
    <t>Microtech Inc. acquired a new asset on January 1, 2025. The asset's cost was $50,000. For book purposes Microtech Inc. uses straight-line depreciation and the asset's useful life is 5 years.</t>
  </si>
  <si>
    <t>I am writing to provide an update on Microtech Inc.’s 2025 corporate tax return and to highlight several opportunities through which our firm can help streamline your tax compliance process going forward.</t>
  </si>
  <si>
    <t>As part of our tax preparation process, we reviewed and mapped Microtech Inc.’s trial balance accounts and identified the applicable permanent and temporary book-to-tax adjustments.</t>
  </si>
  <si>
    <t>As Microtech Inc. continues to grow, we see opportunities to improve the efficiency and consistency of the tax compliance process through automation.</t>
  </si>
  <si>
    <t>Overall, these process improvements should help create a more streamlined, scalable, and reliable tax compliance workflow for Microtech Inc. while allowing our team to focus more time on review, analysis, and tax planning.</t>
  </si>
  <si>
    <t>Please feel free to reach out if you have any questions regarding the tax return calculations or the process improvements outlined above. We would be happy to discuss these items in further detail.</t>
  </si>
  <si>
    <t>Best regards,</t>
  </si>
  <si>
    <t>Pritam Saha</t>
  </si>
  <si>
    <t>### 2025 Tax Return Update</t>
  </si>
  <si>
    <t>For the year ended December 31, 2025, Microtech Inc. had "$312,000 of unfavorable permanent adjustments" and "$251,900 of favorable temporary adjustments". The company also benefited from the "100% deduction for qualifying meals" and "100% bonus depreciation".</t>
  </si>
  <si>
    <t>After incorporating these adjustments, the resulting "taxable income was $3,458,300". Applying the "21% federal corporate tax rate" results in a total "federal corporate tax liability of $726,243" for the year ended December 31, 2025.</t>
  </si>
  <si>
    <t>### Opportunities to Improve the Tax Compliance Process</t>
  </si>
  <si>
    <t>Management Trainee</t>
  </si>
  <si>
    <t>S.K Dhar adnd Co..,Chartered Accountants</t>
  </si>
  <si>
    <t>Going forward, our firm plans to leverage "Sanjay" to streamline the trial balance preparation process. Sanjay can help us cleanse, standardize, and map trial balance accounts, as well as prepare the data for import into our tax software. This approach will reduce the amount of manual account mapping required as the number of accounts increases and help improve overall process efficiency.</t>
  </si>
  <si>
    <t>We also plan to utilize Sanjay to enhance the management and preparation of "fixed asset book-to-tax adjustments". Fixed assets can require significant effort to track due to the volume of assets, depreciation methods, acquisition dates, and other tax-related considerations. By automating portions of this process, we expect to reduce manual work, improve consistency, and make future fixed asset adjustments more efficient.</t>
  </si>
  <si>
    <t>CHART OF ACCOUNTS</t>
  </si>
  <si>
    <t>Email Writing to Client</t>
  </si>
  <si>
    <r>
      <t xml:space="preserve">Good morning </t>
    </r>
    <r>
      <rPr>
        <b/>
        <sz val="11"/>
        <color theme="1"/>
        <rFont val="Calibri"/>
        <family val="2"/>
        <scheme val="minor"/>
      </rPr>
      <t>Patricia</t>
    </r>
    <r>
      <rPr>
        <sz val="11"/>
        <color theme="1"/>
        <rFont val="Calibri"/>
        <scheme val="minor"/>
      </rPr>
      <t>,</t>
    </r>
  </si>
  <si>
    <r>
      <rPr>
        <b/>
        <sz val="12"/>
        <color theme="1"/>
        <rFont val="Calibri"/>
        <family val="2"/>
        <scheme val="minor"/>
      </rPr>
      <t>To</t>
    </r>
    <r>
      <rPr>
        <sz val="11"/>
        <color theme="1"/>
        <rFont val="Calibri"/>
        <family val="2"/>
        <scheme val="minor"/>
      </rPr>
      <t>:</t>
    </r>
    <r>
      <rPr>
        <b/>
        <sz val="11"/>
        <color theme="1"/>
        <rFont val="Calibri"/>
        <family val="2"/>
        <scheme val="minor"/>
      </rPr>
      <t xml:space="preserve"> Patricia Parrington (Accounting &amp; Finance Manager)</t>
    </r>
  </si>
  <si>
    <t xml:space="preserve">Account Types </t>
  </si>
  <si>
    <t>Assets</t>
  </si>
  <si>
    <t>What the company owns or will benefit from in the future</t>
  </si>
  <si>
    <t xml:space="preserve">Examples: cash, accounts receivable, inventory, equipment, prepaid items </t>
  </si>
  <si>
    <t>Liabilities</t>
  </si>
  <si>
    <t>What the company owes or is obligated to pay</t>
  </si>
  <si>
    <t xml:space="preserve">Examples: accounts payable, accrued expenses, deferred revenue </t>
  </si>
  <si>
    <t>The owner’s interest in the company after liabilities</t>
  </si>
  <si>
    <t xml:space="preserve">Examples: common stock, retained earnings </t>
  </si>
  <si>
    <t>Income earned from providing goods or services</t>
  </si>
  <si>
    <t xml:space="preserve">Examples: sales revenue, service revenue, interest revenue </t>
  </si>
  <si>
    <t>Expenses</t>
  </si>
  <si>
    <t>Costs incurred to operate the business</t>
  </si>
  <si>
    <t xml:space="preserve">Examples: rent, salaries, utilities, advertising </t>
  </si>
  <si>
    <t>Tips for Classification</t>
  </si>
  <si>
    <r>
      <t>Prepaid items</t>
    </r>
    <r>
      <rPr>
        <sz val="10"/>
        <color theme="1"/>
        <rFont val="Calibri"/>
        <family val="2"/>
      </rPr>
      <t xml:space="preserve"> are typically assets because they provide future benefit </t>
    </r>
  </si>
  <si>
    <r>
      <t>Accrued items</t>
    </r>
    <r>
      <rPr>
        <sz val="10"/>
        <color theme="1"/>
        <rFont val="Calibri"/>
        <family val="2"/>
      </rPr>
      <t xml:space="preserve"> are typically liabilities because they represent amounts owed </t>
    </r>
  </si>
  <si>
    <r>
      <t>Deferred revenue</t>
    </r>
    <r>
      <rPr>
        <sz val="10"/>
        <color theme="1"/>
        <rFont val="Calibri"/>
        <family val="2"/>
      </rPr>
      <t xml:space="preserve"> is a liability because payment is received before earning it </t>
    </r>
  </si>
  <si>
    <r>
      <t>Allowance for doubtful accounts</t>
    </r>
    <r>
      <rPr>
        <sz val="10"/>
        <color theme="1"/>
        <rFont val="Calibri"/>
        <family val="2"/>
      </rPr>
      <t xml:space="preserve"> is linked to accounts receivable and reduces asset value </t>
    </r>
  </si>
  <si>
    <r>
      <t>Accumulated depreciation</t>
    </r>
    <r>
      <rPr>
        <sz val="10"/>
        <color theme="1"/>
        <rFont val="Calibri"/>
        <family val="2"/>
      </rPr>
      <t xml:space="preserve"> reduces the value of fixed assets </t>
    </r>
  </si>
  <si>
    <r>
      <t>Cost of goods sold (COGS)</t>
    </r>
    <r>
      <rPr>
        <sz val="10"/>
        <color theme="1"/>
        <rFont val="Calibri"/>
        <family val="2"/>
      </rPr>
      <t xml:space="preserve"> is an expense directly related to revenue generation </t>
    </r>
  </si>
  <si>
    <t>Chart of Accounts – Quick Reference Guide</t>
  </si>
  <si>
    <t>Subject: Microtech Inc. Tax Return Updates &amp;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</si>
</sst>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0.00_);_(* \(#,##0.00\);_(* &quot;-&quot;??_);_(@_)"/>
    <numFmt numFmtId="165" formatCode="_(* #,##0_);_(* \(#,##0\);_(* &quot;-&quot;??_);_(@_)"/>
  </numFmts>
  <fonts count="29" x14ac:knownFonts="1">
    <font>
      <sz val="11"/>
      <color theme="1"/>
      <name val="Calibri"/>
      <scheme val="minor"/>
    </font>
    <font>
      <sz val="11"/>
      <color theme="1"/>
      <name val="Calibri"/>
      <family val="2"/>
    </font>
    <font>
      <sz val="11"/>
      <color theme="1"/>
      <name val="Calibri"/>
      <family val="2"/>
    </font>
    <font>
      <sz val="11"/>
      <color theme="1"/>
      <name val="Calibri"/>
      <family val="2"/>
      <scheme val="minor"/>
    </font>
    <font>
      <sz val="11"/>
      <color theme="1"/>
      <name val="Calibri"/>
      <family val="2"/>
      <scheme val="minor"/>
    </font>
    <font>
      <b/>
      <sz val="11"/>
      <color theme="1"/>
      <name val="Calibri"/>
      <family val="2"/>
    </font>
    <font>
      <b/>
      <sz val="11"/>
      <color theme="1"/>
      <name val="Calibri"/>
      <family val="2"/>
      <scheme val="minor"/>
    </font>
    <font>
      <i/>
      <sz val="11"/>
      <color theme="1"/>
      <name val="Calibri"/>
      <family val="2"/>
      <scheme val="minor"/>
    </font>
    <font>
      <b/>
      <sz val="11"/>
      <color theme="0"/>
      <name val="Calibri"/>
      <family val="2"/>
    </font>
    <font>
      <sz val="11"/>
      <color rgb="FFFF0000"/>
      <name val="Calibri"/>
      <family val="2"/>
    </font>
    <font>
      <u/>
      <sz val="11"/>
      <color theme="10"/>
      <name val="Calibri"/>
      <scheme val="minor"/>
    </font>
    <font>
      <sz val="11"/>
      <color theme="1"/>
      <name val="Times New Roman"/>
      <family val="1"/>
    </font>
    <font>
      <u/>
      <sz val="11"/>
      <color theme="1"/>
      <name val="Calibri"/>
      <family val="2"/>
    </font>
    <font>
      <b/>
      <sz val="11"/>
      <color theme="4"/>
      <name val="Calibri"/>
      <family val="2"/>
    </font>
    <font>
      <sz val="11"/>
      <color theme="4"/>
      <name val="Calibri"/>
      <family val="2"/>
    </font>
    <font>
      <sz val="11"/>
      <color rgb="FF4472C4"/>
      <name val="Calibri"/>
      <family val="2"/>
    </font>
    <font>
      <b/>
      <u/>
      <sz val="11"/>
      <color theme="1"/>
      <name val="Calibri"/>
      <family val="2"/>
    </font>
    <font>
      <u/>
      <sz val="11"/>
      <color theme="10"/>
      <name val="Calibri"/>
      <family val="2"/>
      <scheme val="minor"/>
    </font>
    <font>
      <sz val="12"/>
      <color theme="1"/>
      <name val="Calibri"/>
      <family val="2"/>
      <scheme val="minor"/>
    </font>
    <font>
      <b/>
      <sz val="14"/>
      <color theme="1"/>
      <name val="Calibri"/>
      <family val="2"/>
    </font>
    <font>
      <sz val="14"/>
      <color theme="1"/>
      <name val="Calibri"/>
      <family val="2"/>
      <scheme val="minor"/>
    </font>
    <font>
      <b/>
      <sz val="14"/>
      <color theme="1"/>
      <name val="Calibri"/>
      <family val="2"/>
      <scheme val="minor"/>
    </font>
    <font>
      <b/>
      <sz val="14"/>
      <color theme="0"/>
      <name val="Calibri"/>
      <family val="2"/>
    </font>
    <font>
      <sz val="14"/>
      <color theme="1"/>
      <name val="Calibri"/>
      <family val="2"/>
    </font>
    <font>
      <sz val="10"/>
      <color theme="1"/>
      <name val="Calibri"/>
      <family val="2"/>
    </font>
    <font>
      <b/>
      <sz val="12"/>
      <color theme="1"/>
      <name val="Calibri"/>
      <family val="2"/>
      <scheme val="minor"/>
    </font>
    <font>
      <sz val="12"/>
      <color theme="1"/>
      <name val="Aptos"/>
      <family val="2"/>
    </font>
    <font>
      <b/>
      <sz val="10"/>
      <color theme="1"/>
      <name val="Calibri"/>
      <family val="2"/>
    </font>
    <font>
      <b/>
      <sz val="12"/>
      <color theme="1"/>
      <name val="Calibri"/>
      <family val="2"/>
    </font>
  </fonts>
  <fills count="7">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BDD6EE"/>
        <bgColor rgb="FFBDD6EE"/>
      </patternFill>
    </fill>
    <fill>
      <patternFill patternType="solid">
        <fgColor rgb="FFFEF2CB"/>
        <bgColor rgb="FFFEF2CB"/>
      </patternFill>
    </fill>
    <fill>
      <patternFill patternType="solid">
        <fgColor rgb="FF00206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7">
    <xf numFmtId="0" fontId="0" fillId="0" borderId="0"/>
    <xf numFmtId="0" fontId="10" fillId="0" borderId="0" applyNumberFormat="0" applyFill="0" applyBorder="0" applyAlignment="0" applyProtection="0"/>
    <xf numFmtId="0" fontId="3" fillId="0" borderId="0"/>
    <xf numFmtId="0" fontId="3" fillId="0" borderId="0"/>
    <xf numFmtId="0" fontId="3" fillId="0" borderId="0"/>
    <xf numFmtId="0" fontId="3" fillId="0" borderId="0"/>
    <xf numFmtId="0" fontId="17" fillId="0" borderId="0" applyNumberFormat="0" applyFill="0" applyBorder="0" applyAlignment="0" applyProtection="0"/>
  </cellStyleXfs>
  <cellXfs count="87">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0" fillId="0" borderId="0" xfId="0"/>
    <xf numFmtId="0" fontId="2" fillId="0" borderId="0" xfId="0" applyFont="1"/>
    <xf numFmtId="0" fontId="11" fillId="0" borderId="0" xfId="0" applyFont="1" applyAlignment="1">
      <alignment vertical="top"/>
    </xf>
    <xf numFmtId="0" fontId="12" fillId="0" borderId="0" xfId="0" applyFont="1"/>
    <xf numFmtId="0" fontId="10" fillId="0" borderId="0" xfId="1"/>
    <xf numFmtId="0" fontId="3" fillId="0" borderId="0" xfId="0" applyFont="1"/>
    <xf numFmtId="0" fontId="2" fillId="0" borderId="1" xfId="0" applyFont="1" applyBorder="1" applyAlignment="1">
      <alignment horizontal="right"/>
    </xf>
    <xf numFmtId="3" fontId="2" fillId="2" borderId="1" xfId="0" applyNumberFormat="1" applyFont="1" applyFill="1" applyBorder="1" applyAlignment="1">
      <alignment horizontal="right"/>
    </xf>
    <xf numFmtId="0" fontId="5" fillId="0" borderId="0" xfId="0" applyFont="1" applyAlignment="1">
      <alignment horizontal="left"/>
    </xf>
    <xf numFmtId="164" fontId="2" fillId="3" borderId="1" xfId="0" applyNumberFormat="1" applyFont="1" applyFill="1" applyBorder="1" applyAlignment="1">
      <alignment horizontal="right"/>
    </xf>
    <xf numFmtId="0" fontId="2" fillId="0" borderId="3" xfId="0" applyFont="1" applyBorder="1"/>
    <xf numFmtId="0" fontId="2" fillId="0" borderId="0" xfId="0" applyFont="1" applyAlignment="1">
      <alignment horizontal="left"/>
    </xf>
    <xf numFmtId="0" fontId="2" fillId="0" borderId="1" xfId="0" applyFont="1" applyBorder="1" applyAlignment="1">
      <alignment horizontal="center" vertical="center"/>
    </xf>
    <xf numFmtId="3" fontId="2" fillId="2" borderId="1" xfId="0" applyNumberFormat="1" applyFont="1" applyFill="1" applyBorder="1" applyAlignment="1">
      <alignment horizontal="center"/>
    </xf>
    <xf numFmtId="0" fontId="2" fillId="0" borderId="1" xfId="0" applyFont="1" applyBorder="1" applyAlignment="1">
      <alignment horizontal="center"/>
    </xf>
    <xf numFmtId="3" fontId="2" fillId="0" borderId="1" xfId="0" applyNumberFormat="1" applyFont="1" applyBorder="1" applyAlignment="1">
      <alignment horizontal="center"/>
    </xf>
    <xf numFmtId="0" fontId="3" fillId="0" borderId="0" xfId="2"/>
    <xf numFmtId="0" fontId="13" fillId="0" borderId="1" xfId="2" applyFont="1" applyBorder="1" applyAlignment="1">
      <alignment horizontal="center" vertical="center"/>
    </xf>
    <xf numFmtId="0" fontId="14" fillId="3" borderId="1" xfId="2" applyFont="1" applyFill="1" applyBorder="1" applyAlignment="1">
      <alignment horizontal="left" vertical="center"/>
    </xf>
    <xf numFmtId="0" fontId="5" fillId="0" borderId="0" xfId="2" applyFont="1"/>
    <xf numFmtId="0" fontId="15" fillId="4" borderId="1" xfId="2" applyFont="1" applyFill="1" applyBorder="1" applyAlignment="1">
      <alignment horizontal="left" vertical="center"/>
    </xf>
    <xf numFmtId="0" fontId="14" fillId="5" borderId="1" xfId="2" applyFont="1" applyFill="1" applyBorder="1" applyAlignment="1">
      <alignment horizontal="left" vertical="center"/>
    </xf>
    <xf numFmtId="0" fontId="9" fillId="0" borderId="0" xfId="2" applyFont="1"/>
    <xf numFmtId="165" fontId="2" fillId="0" borderId="0" xfId="2" applyNumberFormat="1" applyFont="1"/>
    <xf numFmtId="0" fontId="19" fillId="0" borderId="0" xfId="0" applyFont="1"/>
    <xf numFmtId="0" fontId="21" fillId="0" borderId="0" xfId="0" applyFont="1"/>
    <xf numFmtId="0" fontId="19" fillId="0" borderId="1" xfId="0" applyFont="1" applyBorder="1"/>
    <xf numFmtId="0" fontId="22" fillId="6" borderId="1" xfId="0" applyFont="1" applyFill="1" applyBorder="1" applyAlignment="1">
      <alignment horizontal="center" vertical="center"/>
    </xf>
    <xf numFmtId="0" fontId="22" fillId="6" borderId="1" xfId="0" applyFont="1" applyFill="1" applyBorder="1" applyAlignment="1">
      <alignment horizontal="center"/>
    </xf>
    <xf numFmtId="0" fontId="16" fillId="0" borderId="5" xfId="2" applyFont="1" applyBorder="1"/>
    <xf numFmtId="0" fontId="3" fillId="0" borderId="6" xfId="2" applyBorder="1"/>
    <xf numFmtId="0" fontId="3" fillId="0" borderId="7" xfId="2" applyFont="1" applyBorder="1"/>
    <xf numFmtId="3" fontId="2" fillId="4" borderId="8" xfId="2" applyNumberFormat="1" applyFont="1" applyFill="1" applyBorder="1"/>
    <xf numFmtId="0" fontId="0" fillId="0" borderId="7" xfId="0" applyBorder="1"/>
    <xf numFmtId="0" fontId="0" fillId="0" borderId="8" xfId="0" applyBorder="1"/>
    <xf numFmtId="0" fontId="5" fillId="0" borderId="7" xfId="2" applyFont="1" applyBorder="1"/>
    <xf numFmtId="0" fontId="3" fillId="0" borderId="8" xfId="2" applyBorder="1"/>
    <xf numFmtId="165" fontId="2" fillId="5" borderId="8" xfId="2" applyNumberFormat="1" applyFont="1" applyFill="1" applyBorder="1"/>
    <xf numFmtId="165" fontId="2" fillId="3" borderId="8" xfId="2" applyNumberFormat="1" applyFont="1" applyFill="1" applyBorder="1"/>
    <xf numFmtId="3" fontId="2" fillId="5" borderId="8" xfId="2" applyNumberFormat="1" applyFont="1" applyFill="1" applyBorder="1"/>
    <xf numFmtId="0" fontId="2" fillId="5" borderId="8" xfId="2" applyFont="1" applyFill="1" applyBorder="1"/>
    <xf numFmtId="165" fontId="2" fillId="5" borderId="9" xfId="2" applyNumberFormat="1" applyFont="1" applyFill="1" applyBorder="1"/>
    <xf numFmtId="165" fontId="2" fillId="4" borderId="8" xfId="2" applyNumberFormat="1" applyFont="1" applyFill="1" applyBorder="1"/>
    <xf numFmtId="0" fontId="2" fillId="5" borderId="9" xfId="2" applyFont="1" applyFill="1" applyBorder="1"/>
    <xf numFmtId="0" fontId="3" fillId="0" borderId="7" xfId="2" applyBorder="1"/>
    <xf numFmtId="43" fontId="2" fillId="0" borderId="8" xfId="2" applyNumberFormat="1" applyFont="1" applyBorder="1"/>
    <xf numFmtId="9" fontId="2" fillId="0" borderId="8" xfId="2" applyNumberFormat="1" applyFont="1" applyBorder="1"/>
    <xf numFmtId="0" fontId="5" fillId="0" borderId="10" xfId="2" applyFont="1" applyBorder="1"/>
    <xf numFmtId="165" fontId="2" fillId="3" borderId="11" xfId="2" applyNumberFormat="1" applyFont="1" applyFill="1" applyBorder="1"/>
    <xf numFmtId="0" fontId="24" fillId="0" borderId="0" xfId="0" applyFont="1" applyAlignment="1">
      <alignment vertical="center"/>
    </xf>
    <xf numFmtId="0" fontId="0" fillId="0" borderId="0" xfId="0" applyFont="1"/>
    <xf numFmtId="0" fontId="21" fillId="0" borderId="0" xfId="0" applyFont="1" applyAlignment="1">
      <alignment horizontal="right" vertical="center"/>
    </xf>
    <xf numFmtId="0" fontId="22" fillId="6" borderId="10" xfId="0" applyFont="1" applyFill="1" applyBorder="1" applyAlignment="1">
      <alignment horizontal="left" vertical="top"/>
    </xf>
    <xf numFmtId="0" fontId="22" fillId="6" borderId="4" xfId="0" applyFont="1" applyFill="1" applyBorder="1" applyAlignment="1">
      <alignment horizontal="left" vertical="top"/>
    </xf>
    <xf numFmtId="0" fontId="22" fillId="6" borderId="11" xfId="0" applyFont="1" applyFill="1" applyBorder="1" applyAlignment="1">
      <alignment horizontal="left" vertical="top"/>
    </xf>
    <xf numFmtId="0" fontId="18" fillId="0" borderId="7" xfId="0" applyFont="1" applyBorder="1" applyAlignment="1">
      <alignment horizontal="left"/>
    </xf>
    <xf numFmtId="0" fontId="18" fillId="0" borderId="0" xfId="0" applyFont="1" applyBorder="1"/>
    <xf numFmtId="0" fontId="18" fillId="0" borderId="8" xfId="0" applyFont="1" applyBorder="1"/>
    <xf numFmtId="0" fontId="18" fillId="0" borderId="10" xfId="0" applyFont="1" applyBorder="1" applyAlignment="1">
      <alignment horizontal="left"/>
    </xf>
    <xf numFmtId="0" fontId="18" fillId="0" borderId="4" xfId="0" applyFont="1" applyBorder="1"/>
    <xf numFmtId="0" fontId="18" fillId="0" borderId="11" xfId="0" applyFont="1" applyBorder="1"/>
    <xf numFmtId="0" fontId="22" fillId="6" borderId="13" xfId="0" applyFont="1" applyFill="1" applyBorder="1"/>
    <xf numFmtId="0" fontId="2" fillId="0" borderId="7" xfId="0" applyFont="1" applyBorder="1"/>
    <xf numFmtId="0" fontId="2" fillId="0" borderId="10" xfId="0" applyFont="1" applyBorder="1"/>
    <xf numFmtId="0" fontId="8" fillId="6" borderId="12" xfId="0" applyFont="1" applyFill="1" applyBorder="1"/>
    <xf numFmtId="0" fontId="2" fillId="0" borderId="14" xfId="0" applyFont="1" applyBorder="1"/>
    <xf numFmtId="0" fontId="2" fillId="0" borderId="15" xfId="0" applyFont="1" applyBorder="1"/>
    <xf numFmtId="0" fontId="22" fillId="6" borderId="12" xfId="0" applyFont="1" applyFill="1" applyBorder="1"/>
    <xf numFmtId="0" fontId="27" fillId="0" borderId="0" xfId="0" applyFont="1" applyAlignment="1">
      <alignment horizontal="left" vertical="center" indent="1"/>
    </xf>
    <xf numFmtId="0" fontId="24" fillId="0" borderId="0" xfId="0" applyFont="1" applyAlignment="1">
      <alignment horizontal="left" vertical="center" indent="1"/>
    </xf>
    <xf numFmtId="0" fontId="26" fillId="0" borderId="0" xfId="0" applyFont="1" applyAlignment="1">
      <alignment vertical="center"/>
    </xf>
    <xf numFmtId="0" fontId="19" fillId="0" borderId="0" xfId="0" applyFont="1" applyAlignment="1">
      <alignment vertical="center"/>
    </xf>
    <xf numFmtId="0" fontId="19" fillId="0" borderId="0" xfId="2" applyFont="1" applyAlignment="1">
      <alignment horizontal="right" vertical="center"/>
    </xf>
    <xf numFmtId="0" fontId="21" fillId="0" borderId="0" xfId="2" applyFont="1" applyAlignment="1">
      <alignment horizontal="right" vertical="center"/>
    </xf>
    <xf numFmtId="14" fontId="23" fillId="0" borderId="0" xfId="2" applyNumberFormat="1" applyFont="1" applyAlignment="1">
      <alignment horizontal="right" vertical="center"/>
    </xf>
    <xf numFmtId="0" fontId="28" fillId="0" borderId="0" xfId="0" applyFont="1" applyAlignment="1">
      <alignment vertical="center"/>
    </xf>
    <xf numFmtId="0" fontId="19" fillId="0" borderId="0" xfId="0" applyFont="1" applyAlignment="1">
      <alignment horizontal="center" vertical="center"/>
    </xf>
    <xf numFmtId="0" fontId="20" fillId="0" borderId="0" xfId="0" applyFont="1" applyAlignment="1">
      <alignment vertical="center"/>
    </xf>
    <xf numFmtId="0" fontId="19" fillId="0" borderId="2" xfId="0" applyFont="1" applyBorder="1"/>
    <xf numFmtId="0" fontId="19" fillId="0" borderId="3" xfId="0" applyFont="1" applyBorder="1"/>
    <xf numFmtId="0" fontId="2" fillId="0" borderId="2" xfId="0" applyFont="1" applyBorder="1" applyAlignment="1">
      <alignment horizontal="left"/>
    </xf>
    <xf numFmtId="0" fontId="2" fillId="0" borderId="3" xfId="0" applyFont="1" applyBorder="1" applyAlignment="1">
      <alignment horizontal="left"/>
    </xf>
  </cellXfs>
  <cellStyles count="7">
    <cellStyle name="Hyperlink" xfId="1" builtinId="8"/>
    <cellStyle name="Hyperlink 2" xfId="6" xr:uid="{29B1A248-D8AB-43FD-A1F8-3E7F20972E0D}"/>
    <cellStyle name="Normal" xfId="0" builtinId="0"/>
    <cellStyle name="Normal 2" xfId="3" xr:uid="{BCCBDB89-26A3-44A4-A90B-BF59C46F62B4}"/>
    <cellStyle name="Normal 3" xfId="4" xr:uid="{D1844C8E-C31E-4382-AC66-C32B874333D2}"/>
    <cellStyle name="Normal 4" xfId="5" xr:uid="{2784A8BE-9956-4FEA-BE7D-61B810B45561}"/>
    <cellStyle name="Normal 5" xfId="2" xr:uid="{9A863DBE-8E12-49AC-A9B4-27D90EA0BC9D}"/>
  </cellStyles>
  <dxfs count="0"/>
  <tableStyles count="0" defaultTableStyle="TableStyleMedium2" defaultPivotStyle="PivotStyleLight16"/>
  <colors>
    <mruColors>
      <color rgb="FFAE5512"/>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irs.gov/publications/p9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6CEF-6CA9-4355-91E2-317608A31A9A}">
  <sheetPr>
    <tabColor theme="8" tint="-0.499984740745262"/>
  </sheetPr>
  <dimension ref="B1:B28"/>
  <sheetViews>
    <sheetView showGridLines="0" workbookViewId="0">
      <selection activeCell="M27" sqref="M27"/>
    </sheetView>
  </sheetViews>
  <sheetFormatPr defaultRowHeight="15" x14ac:dyDescent="0.25"/>
  <cols>
    <col min="1" max="1" width="2.28515625" customWidth="1"/>
  </cols>
  <sheetData>
    <row r="1" spans="2:2" s="5" customFormat="1" x14ac:dyDescent="0.25"/>
    <row r="2" spans="2:2" ht="18.75" x14ac:dyDescent="0.25">
      <c r="B2" s="76" t="s">
        <v>163</v>
      </c>
    </row>
    <row r="3" spans="2:2" ht="15.75" x14ac:dyDescent="0.25">
      <c r="B3" s="80" t="s">
        <v>142</v>
      </c>
    </row>
    <row r="4" spans="2:2" x14ac:dyDescent="0.25">
      <c r="B4" s="73" t="s">
        <v>143</v>
      </c>
    </row>
    <row r="5" spans="2:2" x14ac:dyDescent="0.25">
      <c r="B5" s="74" t="s">
        <v>144</v>
      </c>
    </row>
    <row r="6" spans="2:2" x14ac:dyDescent="0.25">
      <c r="B6" s="74" t="s">
        <v>145</v>
      </c>
    </row>
    <row r="7" spans="2:2" x14ac:dyDescent="0.25">
      <c r="B7" s="73" t="s">
        <v>146</v>
      </c>
    </row>
    <row r="8" spans="2:2" x14ac:dyDescent="0.25">
      <c r="B8" s="74" t="s">
        <v>147</v>
      </c>
    </row>
    <row r="9" spans="2:2" x14ac:dyDescent="0.25">
      <c r="B9" s="74" t="s">
        <v>148</v>
      </c>
    </row>
    <row r="10" spans="2:2" x14ac:dyDescent="0.25">
      <c r="B10" s="73" t="s">
        <v>26</v>
      </c>
    </row>
    <row r="11" spans="2:2" x14ac:dyDescent="0.25">
      <c r="B11" s="74" t="s">
        <v>149</v>
      </c>
    </row>
    <row r="12" spans="2:2" x14ac:dyDescent="0.25">
      <c r="B12" s="74" t="s">
        <v>150</v>
      </c>
    </row>
    <row r="13" spans="2:2" x14ac:dyDescent="0.25">
      <c r="B13" s="73" t="s">
        <v>28</v>
      </c>
    </row>
    <row r="14" spans="2:2" x14ac:dyDescent="0.25">
      <c r="B14" s="74" t="s">
        <v>151</v>
      </c>
    </row>
    <row r="15" spans="2:2" x14ac:dyDescent="0.25">
      <c r="B15" s="74" t="s">
        <v>152</v>
      </c>
    </row>
    <row r="16" spans="2:2" x14ac:dyDescent="0.25">
      <c r="B16" s="73" t="s">
        <v>153</v>
      </c>
    </row>
    <row r="17" spans="2:2" x14ac:dyDescent="0.25">
      <c r="B17" s="74" t="s">
        <v>154</v>
      </c>
    </row>
    <row r="18" spans="2:2" x14ac:dyDescent="0.25">
      <c r="B18" s="74" t="s">
        <v>155</v>
      </c>
    </row>
    <row r="21" spans="2:2" ht="15.75" x14ac:dyDescent="0.25">
      <c r="B21" s="80" t="s">
        <v>156</v>
      </c>
    </row>
    <row r="22" spans="2:2" x14ac:dyDescent="0.25">
      <c r="B22" s="73" t="s">
        <v>157</v>
      </c>
    </row>
    <row r="23" spans="2:2" x14ac:dyDescent="0.25">
      <c r="B23" s="73" t="s">
        <v>158</v>
      </c>
    </row>
    <row r="24" spans="2:2" x14ac:dyDescent="0.25">
      <c r="B24" s="73" t="s">
        <v>159</v>
      </c>
    </row>
    <row r="25" spans="2:2" x14ac:dyDescent="0.25">
      <c r="B25" s="73" t="s">
        <v>160</v>
      </c>
    </row>
    <row r="26" spans="2:2" x14ac:dyDescent="0.25">
      <c r="B26" s="73" t="s">
        <v>161</v>
      </c>
    </row>
    <row r="27" spans="2:2" x14ac:dyDescent="0.25">
      <c r="B27" s="73" t="s">
        <v>162</v>
      </c>
    </row>
    <row r="28" spans="2:2" ht="15.75" x14ac:dyDescent="0.25">
      <c r="B28" s="7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Z1008"/>
  <sheetViews>
    <sheetView showGridLines="0" zoomScale="70" zoomScaleNormal="70" workbookViewId="0">
      <selection activeCell="E53" sqref="E53"/>
    </sheetView>
  </sheetViews>
  <sheetFormatPr defaultColWidth="14.42578125" defaultRowHeight="15" customHeight="1" x14ac:dyDescent="0.25"/>
  <cols>
    <col min="1" max="1" width="2.28515625" customWidth="1"/>
    <col min="2" max="2" width="11.7109375" bestFit="1" customWidth="1"/>
    <col min="3" max="3" width="48.140625" bestFit="1" customWidth="1"/>
    <col min="4" max="4" width="16.85546875" bestFit="1" customWidth="1"/>
    <col min="5" max="5" width="20.5703125" bestFit="1" customWidth="1"/>
    <col min="6" max="26" width="8.7109375" customWidth="1"/>
  </cols>
  <sheetData>
    <row r="1" spans="1:26" s="5" customFormat="1" ht="15" customHeight="1" x14ac:dyDescent="0.25"/>
    <row r="2" spans="1:26" ht="14.25" customHeight="1" x14ac:dyDescent="0.25">
      <c r="B2" s="81" t="s">
        <v>119</v>
      </c>
      <c r="C2" s="82"/>
      <c r="D2" s="82"/>
      <c r="E2" s="82"/>
    </row>
    <row r="3" spans="1:26" ht="14.25" customHeight="1" x14ac:dyDescent="0.25">
      <c r="B3" s="81" t="s">
        <v>0</v>
      </c>
      <c r="C3" s="82"/>
      <c r="D3" s="82"/>
      <c r="E3" s="82"/>
    </row>
    <row r="4" spans="1:26" ht="14.25" customHeight="1" x14ac:dyDescent="0.25">
      <c r="B4" s="81" t="s">
        <v>52</v>
      </c>
      <c r="C4" s="82"/>
      <c r="D4" s="82"/>
      <c r="E4" s="82"/>
    </row>
    <row r="5" spans="1:26" ht="14.25" customHeight="1" x14ac:dyDescent="0.25"/>
    <row r="6" spans="1:26" ht="18.75" x14ac:dyDescent="0.25">
      <c r="C6" s="56" t="s">
        <v>138</v>
      </c>
    </row>
    <row r="7" spans="1:26" ht="18.75" x14ac:dyDescent="0.25">
      <c r="A7" s="2"/>
      <c r="B7" s="57" t="s">
        <v>96</v>
      </c>
      <c r="C7" s="58" t="s">
        <v>1</v>
      </c>
      <c r="D7" s="58" t="s">
        <v>2</v>
      </c>
      <c r="E7" s="59" t="s">
        <v>3</v>
      </c>
      <c r="F7" s="2"/>
      <c r="G7" s="2"/>
      <c r="H7" s="2"/>
      <c r="I7" s="2"/>
      <c r="J7" s="2"/>
      <c r="K7" s="2"/>
      <c r="L7" s="2"/>
      <c r="M7" s="2"/>
      <c r="N7" s="2"/>
      <c r="O7" s="2"/>
      <c r="P7" s="2"/>
      <c r="Q7" s="2"/>
      <c r="R7" s="2"/>
      <c r="S7" s="2"/>
      <c r="T7" s="2"/>
      <c r="U7" s="2"/>
      <c r="V7" s="2"/>
      <c r="W7" s="2"/>
      <c r="X7" s="2"/>
      <c r="Y7" s="2"/>
      <c r="Z7" s="2"/>
    </row>
    <row r="8" spans="1:26" ht="14.25" customHeight="1" x14ac:dyDescent="0.25">
      <c r="B8" s="60">
        <v>1001</v>
      </c>
      <c r="C8" s="61" t="s">
        <v>4</v>
      </c>
      <c r="D8" s="61" t="s">
        <v>5</v>
      </c>
      <c r="E8" s="62" t="s">
        <v>6</v>
      </c>
    </row>
    <row r="9" spans="1:26" ht="14.25" customHeight="1" x14ac:dyDescent="0.25">
      <c r="B9" s="60">
        <v>1002</v>
      </c>
      <c r="C9" s="61" t="s">
        <v>7</v>
      </c>
      <c r="D9" s="61" t="s">
        <v>5</v>
      </c>
      <c r="E9" s="62" t="s">
        <v>6</v>
      </c>
    </row>
    <row r="10" spans="1:26" ht="14.25" customHeight="1" x14ac:dyDescent="0.25">
      <c r="B10" s="60">
        <v>1003</v>
      </c>
      <c r="C10" s="61" t="s">
        <v>8</v>
      </c>
      <c r="D10" s="61" t="s">
        <v>5</v>
      </c>
      <c r="E10" s="62" t="s">
        <v>6</v>
      </c>
    </row>
    <row r="11" spans="1:26" ht="14.25" customHeight="1" x14ac:dyDescent="0.25">
      <c r="B11" s="60">
        <v>1004</v>
      </c>
      <c r="C11" s="61" t="s">
        <v>9</v>
      </c>
      <c r="D11" s="61" t="s">
        <v>5</v>
      </c>
      <c r="E11" s="62" t="s">
        <v>6</v>
      </c>
    </row>
    <row r="12" spans="1:26" ht="14.25" customHeight="1" x14ac:dyDescent="0.25">
      <c r="B12" s="60">
        <v>1005</v>
      </c>
      <c r="C12" s="61" t="s">
        <v>10</v>
      </c>
      <c r="D12" s="61" t="s">
        <v>5</v>
      </c>
      <c r="E12" s="62" t="s">
        <v>6</v>
      </c>
    </row>
    <row r="13" spans="1:26" ht="14.25" customHeight="1" x14ac:dyDescent="0.25">
      <c r="B13" s="60">
        <v>1006</v>
      </c>
      <c r="C13" s="61" t="s">
        <v>11</v>
      </c>
      <c r="D13" s="61" t="s">
        <v>5</v>
      </c>
      <c r="E13" s="62" t="s">
        <v>6</v>
      </c>
    </row>
    <row r="14" spans="1:26" ht="14.25" customHeight="1" x14ac:dyDescent="0.25">
      <c r="B14" s="60">
        <v>1007</v>
      </c>
      <c r="C14" s="61" t="s">
        <v>12</v>
      </c>
      <c r="D14" s="61" t="s">
        <v>5</v>
      </c>
      <c r="E14" s="62" t="s">
        <v>6</v>
      </c>
    </row>
    <row r="15" spans="1:26" ht="14.25" customHeight="1" x14ac:dyDescent="0.25">
      <c r="B15" s="60">
        <v>1008</v>
      </c>
      <c r="C15" s="61" t="s">
        <v>14</v>
      </c>
      <c r="D15" s="61" t="s">
        <v>5</v>
      </c>
      <c r="E15" s="62" t="s">
        <v>6</v>
      </c>
    </row>
    <row r="16" spans="1:26" ht="14.25" customHeight="1" x14ac:dyDescent="0.25">
      <c r="B16" s="60">
        <v>1009</v>
      </c>
      <c r="C16" s="61" t="s">
        <v>15</v>
      </c>
      <c r="D16" s="61" t="s">
        <v>5</v>
      </c>
      <c r="E16" s="62" t="s">
        <v>6</v>
      </c>
    </row>
    <row r="17" spans="2:5" ht="14.25" customHeight="1" x14ac:dyDescent="0.25">
      <c r="B17" s="60">
        <v>1010</v>
      </c>
      <c r="C17" s="61" t="s">
        <v>24</v>
      </c>
      <c r="D17" s="61" t="s">
        <v>5</v>
      </c>
      <c r="E17" s="62" t="s">
        <v>6</v>
      </c>
    </row>
    <row r="18" spans="2:5" ht="14.25" customHeight="1" x14ac:dyDescent="0.25">
      <c r="B18" s="60">
        <v>2001</v>
      </c>
      <c r="C18" s="61" t="s">
        <v>16</v>
      </c>
      <c r="D18" s="61" t="s">
        <v>17</v>
      </c>
      <c r="E18" s="62" t="s">
        <v>6</v>
      </c>
    </row>
    <row r="19" spans="2:5" ht="14.25" customHeight="1" x14ac:dyDescent="0.25">
      <c r="B19" s="60">
        <v>2002</v>
      </c>
      <c r="C19" s="61" t="s">
        <v>18</v>
      </c>
      <c r="D19" s="61" t="s">
        <v>17</v>
      </c>
      <c r="E19" s="62" t="s">
        <v>6</v>
      </c>
    </row>
    <row r="20" spans="2:5" ht="14.25" customHeight="1" x14ac:dyDescent="0.25">
      <c r="B20" s="60">
        <v>2003</v>
      </c>
      <c r="C20" s="61" t="s">
        <v>19</v>
      </c>
      <c r="D20" s="61" t="s">
        <v>17</v>
      </c>
      <c r="E20" s="62" t="s">
        <v>6</v>
      </c>
    </row>
    <row r="21" spans="2:5" ht="14.25" customHeight="1" x14ac:dyDescent="0.25">
      <c r="B21" s="60">
        <v>2004</v>
      </c>
      <c r="C21" s="61" t="s">
        <v>20</v>
      </c>
      <c r="D21" s="61" t="s">
        <v>17</v>
      </c>
      <c r="E21" s="62" t="s">
        <v>6</v>
      </c>
    </row>
    <row r="22" spans="2:5" ht="14.25" customHeight="1" x14ac:dyDescent="0.25">
      <c r="B22" s="60">
        <v>2005</v>
      </c>
      <c r="C22" s="61" t="s">
        <v>21</v>
      </c>
      <c r="D22" s="61" t="s">
        <v>17</v>
      </c>
      <c r="E22" s="62" t="s">
        <v>6</v>
      </c>
    </row>
    <row r="23" spans="2:5" ht="14.25" customHeight="1" x14ac:dyDescent="0.25">
      <c r="B23" s="60">
        <v>2006</v>
      </c>
      <c r="C23" s="61" t="s">
        <v>22</v>
      </c>
      <c r="D23" s="61" t="s">
        <v>17</v>
      </c>
      <c r="E23" s="62" t="s">
        <v>6</v>
      </c>
    </row>
    <row r="24" spans="2:5" ht="14.25" customHeight="1" x14ac:dyDescent="0.25">
      <c r="B24" s="60">
        <v>2007</v>
      </c>
      <c r="C24" s="61" t="s">
        <v>23</v>
      </c>
      <c r="D24" s="61" t="s">
        <v>17</v>
      </c>
      <c r="E24" s="62" t="s">
        <v>6</v>
      </c>
    </row>
    <row r="25" spans="2:5" ht="14.25" customHeight="1" x14ac:dyDescent="0.25">
      <c r="B25" s="60">
        <v>3001</v>
      </c>
      <c r="C25" s="61" t="s">
        <v>25</v>
      </c>
      <c r="D25" s="61" t="s">
        <v>26</v>
      </c>
      <c r="E25" s="62" t="s">
        <v>6</v>
      </c>
    </row>
    <row r="26" spans="2:5" ht="14.25" customHeight="1" x14ac:dyDescent="0.25">
      <c r="B26" s="60">
        <v>4001</v>
      </c>
      <c r="C26" s="61" t="s">
        <v>27</v>
      </c>
      <c r="D26" s="61" t="s">
        <v>28</v>
      </c>
      <c r="E26" s="62" t="s">
        <v>29</v>
      </c>
    </row>
    <row r="27" spans="2:5" ht="14.25" customHeight="1" x14ac:dyDescent="0.25">
      <c r="B27" s="60">
        <v>4002</v>
      </c>
      <c r="C27" s="61" t="s">
        <v>30</v>
      </c>
      <c r="D27" s="61" t="s">
        <v>28</v>
      </c>
      <c r="E27" s="62" t="s">
        <v>29</v>
      </c>
    </row>
    <row r="28" spans="2:5" ht="14.25" customHeight="1" x14ac:dyDescent="0.25">
      <c r="B28" s="60">
        <v>4003</v>
      </c>
      <c r="C28" s="61" t="s">
        <v>31</v>
      </c>
      <c r="D28" s="61" t="s">
        <v>28</v>
      </c>
      <c r="E28" s="62" t="s">
        <v>29</v>
      </c>
    </row>
    <row r="29" spans="2:5" ht="14.25" customHeight="1" x14ac:dyDescent="0.25">
      <c r="B29" s="60">
        <v>4004</v>
      </c>
      <c r="C29" s="61" t="s">
        <v>32</v>
      </c>
      <c r="D29" s="61" t="s">
        <v>28</v>
      </c>
      <c r="E29" s="62" t="s">
        <v>29</v>
      </c>
    </row>
    <row r="30" spans="2:5" ht="14.25" customHeight="1" x14ac:dyDescent="0.25">
      <c r="B30" s="60">
        <v>4005</v>
      </c>
      <c r="C30" s="61" t="s">
        <v>13</v>
      </c>
      <c r="D30" s="61" t="s">
        <v>28</v>
      </c>
      <c r="E30" s="62" t="s">
        <v>29</v>
      </c>
    </row>
    <row r="31" spans="2:5" ht="14.25" customHeight="1" x14ac:dyDescent="0.25">
      <c r="B31" s="60">
        <v>5001</v>
      </c>
      <c r="C31" s="61" t="s">
        <v>33</v>
      </c>
      <c r="D31" s="61" t="s">
        <v>34</v>
      </c>
      <c r="E31" s="62" t="s">
        <v>29</v>
      </c>
    </row>
    <row r="32" spans="2:5" ht="14.25" customHeight="1" x14ac:dyDescent="0.25">
      <c r="B32" s="60">
        <v>5002</v>
      </c>
      <c r="C32" s="61" t="s">
        <v>35</v>
      </c>
      <c r="D32" s="61" t="s">
        <v>34</v>
      </c>
      <c r="E32" s="62" t="s">
        <v>29</v>
      </c>
    </row>
    <row r="33" spans="2:5" ht="14.25" customHeight="1" x14ac:dyDescent="0.25">
      <c r="B33" s="60">
        <v>5003</v>
      </c>
      <c r="C33" s="61" t="s">
        <v>36</v>
      </c>
      <c r="D33" s="61" t="s">
        <v>34</v>
      </c>
      <c r="E33" s="62" t="s">
        <v>29</v>
      </c>
    </row>
    <row r="34" spans="2:5" ht="14.25" customHeight="1" x14ac:dyDescent="0.25">
      <c r="B34" s="60">
        <v>5004</v>
      </c>
      <c r="C34" s="61" t="s">
        <v>37</v>
      </c>
      <c r="D34" s="61" t="s">
        <v>34</v>
      </c>
      <c r="E34" s="62" t="s">
        <v>29</v>
      </c>
    </row>
    <row r="35" spans="2:5" ht="14.25" customHeight="1" x14ac:dyDescent="0.25">
      <c r="B35" s="60">
        <v>5005</v>
      </c>
      <c r="C35" s="61" t="s">
        <v>38</v>
      </c>
      <c r="D35" s="61" t="s">
        <v>34</v>
      </c>
      <c r="E35" s="62" t="s">
        <v>29</v>
      </c>
    </row>
    <row r="36" spans="2:5" ht="14.25" customHeight="1" x14ac:dyDescent="0.25">
      <c r="B36" s="60">
        <v>5006</v>
      </c>
      <c r="C36" s="61" t="s">
        <v>39</v>
      </c>
      <c r="D36" s="61" t="s">
        <v>34</v>
      </c>
      <c r="E36" s="62" t="s">
        <v>29</v>
      </c>
    </row>
    <row r="37" spans="2:5" ht="14.25" customHeight="1" x14ac:dyDescent="0.25">
      <c r="B37" s="60">
        <v>5007</v>
      </c>
      <c r="C37" s="61" t="s">
        <v>40</v>
      </c>
      <c r="D37" s="61" t="s">
        <v>34</v>
      </c>
      <c r="E37" s="62" t="s">
        <v>29</v>
      </c>
    </row>
    <row r="38" spans="2:5" ht="14.25" customHeight="1" x14ac:dyDescent="0.25">
      <c r="B38" s="60">
        <v>5008</v>
      </c>
      <c r="C38" s="61" t="s">
        <v>41</v>
      </c>
      <c r="D38" s="61" t="s">
        <v>34</v>
      </c>
      <c r="E38" s="62" t="s">
        <v>29</v>
      </c>
    </row>
    <row r="39" spans="2:5" ht="14.25" customHeight="1" x14ac:dyDescent="0.25">
      <c r="B39" s="60">
        <v>5009</v>
      </c>
      <c r="C39" s="61" t="s">
        <v>42</v>
      </c>
      <c r="D39" s="61" t="s">
        <v>34</v>
      </c>
      <c r="E39" s="62" t="s">
        <v>29</v>
      </c>
    </row>
    <row r="40" spans="2:5" ht="14.25" customHeight="1" x14ac:dyDescent="0.25">
      <c r="B40" s="60">
        <v>5010</v>
      </c>
      <c r="C40" s="61" t="s">
        <v>43</v>
      </c>
      <c r="D40" s="61" t="s">
        <v>34</v>
      </c>
      <c r="E40" s="62" t="s">
        <v>29</v>
      </c>
    </row>
    <row r="41" spans="2:5" ht="14.25" customHeight="1" x14ac:dyDescent="0.25">
      <c r="B41" s="60">
        <v>5011</v>
      </c>
      <c r="C41" s="61" t="s">
        <v>44</v>
      </c>
      <c r="D41" s="61" t="s">
        <v>34</v>
      </c>
      <c r="E41" s="62" t="s">
        <v>29</v>
      </c>
    </row>
    <row r="42" spans="2:5" ht="14.25" customHeight="1" x14ac:dyDescent="0.25">
      <c r="B42" s="60">
        <v>5012</v>
      </c>
      <c r="C42" s="61" t="s">
        <v>45</v>
      </c>
      <c r="D42" s="61" t="s">
        <v>34</v>
      </c>
      <c r="E42" s="62" t="s">
        <v>29</v>
      </c>
    </row>
    <row r="43" spans="2:5" ht="14.25" customHeight="1" x14ac:dyDescent="0.25">
      <c r="B43" s="60">
        <v>5013</v>
      </c>
      <c r="C43" s="61" t="s">
        <v>46</v>
      </c>
      <c r="D43" s="61" t="s">
        <v>34</v>
      </c>
      <c r="E43" s="62" t="s">
        <v>29</v>
      </c>
    </row>
    <row r="44" spans="2:5" ht="14.25" customHeight="1" x14ac:dyDescent="0.25">
      <c r="B44" s="60">
        <v>5014</v>
      </c>
      <c r="C44" s="61" t="s">
        <v>47</v>
      </c>
      <c r="D44" s="61" t="s">
        <v>34</v>
      </c>
      <c r="E44" s="62" t="s">
        <v>29</v>
      </c>
    </row>
    <row r="45" spans="2:5" ht="14.25" customHeight="1" x14ac:dyDescent="0.25">
      <c r="B45" s="60">
        <v>5015</v>
      </c>
      <c r="C45" s="61" t="s">
        <v>48</v>
      </c>
      <c r="D45" s="61" t="s">
        <v>34</v>
      </c>
      <c r="E45" s="62" t="s">
        <v>29</v>
      </c>
    </row>
    <row r="46" spans="2:5" ht="14.25" customHeight="1" x14ac:dyDescent="0.25">
      <c r="B46" s="60">
        <v>5016</v>
      </c>
      <c r="C46" s="61" t="s">
        <v>49</v>
      </c>
      <c r="D46" s="61" t="s">
        <v>34</v>
      </c>
      <c r="E46" s="62" t="s">
        <v>29</v>
      </c>
    </row>
    <row r="47" spans="2:5" ht="14.25" customHeight="1" x14ac:dyDescent="0.25">
      <c r="B47" s="60">
        <v>5017</v>
      </c>
      <c r="C47" s="61" t="s">
        <v>50</v>
      </c>
      <c r="D47" s="61" t="s">
        <v>34</v>
      </c>
      <c r="E47" s="62" t="s">
        <v>29</v>
      </c>
    </row>
    <row r="48" spans="2:5" ht="14.25" customHeight="1" x14ac:dyDescent="0.25">
      <c r="B48" s="63">
        <v>5018</v>
      </c>
      <c r="C48" s="64" t="s">
        <v>51</v>
      </c>
      <c r="D48" s="64" t="s">
        <v>34</v>
      </c>
      <c r="E48" s="65" t="s">
        <v>29</v>
      </c>
    </row>
    <row r="49" spans="2:3" ht="14.25" customHeight="1" x14ac:dyDescent="0.25">
      <c r="B49" s="1"/>
      <c r="C49" s="1"/>
    </row>
    <row r="50" spans="2:3" s="3" customFormat="1" ht="14.25" customHeight="1" x14ac:dyDescent="0.25"/>
    <row r="51" spans="2:3" s="4" customFormat="1" ht="14.25" customHeight="1" x14ac:dyDescent="0.25"/>
    <row r="52" spans="2:3" s="4" customFormat="1" ht="14.25" customHeight="1" x14ac:dyDescent="0.25"/>
    <row r="53" spans="2:3" ht="14.25" customHeight="1" x14ac:dyDescent="0.25"/>
    <row r="54" spans="2:3" ht="14.25" customHeight="1" x14ac:dyDescent="0.25"/>
    <row r="55" spans="2:3" ht="14.25" customHeight="1" x14ac:dyDescent="0.25"/>
    <row r="56" spans="2:3" x14ac:dyDescent="0.25"/>
    <row r="57" spans="2:3" x14ac:dyDescent="0.25"/>
    <row r="58" spans="2:3" x14ac:dyDescent="0.25"/>
    <row r="59" spans="2:3" ht="14.25" customHeight="1" x14ac:dyDescent="0.25"/>
    <row r="60" spans="2:3" s="3" customFormat="1" ht="14.25" customHeight="1" x14ac:dyDescent="0.25"/>
    <row r="61" spans="2:3" x14ac:dyDescent="0.25"/>
    <row r="62" spans="2:3" s="3" customFormat="1" ht="14.25" customHeight="1" x14ac:dyDescent="0.25"/>
    <row r="63" spans="2:3" x14ac:dyDescent="0.25"/>
    <row r="64" spans="2:3" s="3" customFormat="1" ht="14.25" customHeight="1" x14ac:dyDescent="0.25"/>
    <row r="65"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sheetData>
  <mergeCells count="3">
    <mergeCell ref="B2:E2"/>
    <mergeCell ref="B3:E3"/>
    <mergeCell ref="B4:E4"/>
  </mergeCells>
  <pageMargins left="0.7" right="0.7" top="0.75" bottom="0.75"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31501-BA61-4077-A366-AC25C3F631DE}">
  <sheetPr>
    <tabColor rgb="FFFFFF00"/>
  </sheetPr>
  <dimension ref="A1:H93"/>
  <sheetViews>
    <sheetView showGridLines="0" zoomScale="70" zoomScaleNormal="70" workbookViewId="0">
      <selection activeCell="L72" sqref="L72"/>
    </sheetView>
  </sheetViews>
  <sheetFormatPr defaultRowHeight="15" x14ac:dyDescent="0.25"/>
  <cols>
    <col min="1" max="1" width="2.28515625" customWidth="1"/>
    <col min="2" max="2" width="173.140625" bestFit="1" customWidth="1"/>
    <col min="3" max="3" width="23" bestFit="1" customWidth="1"/>
    <col min="4" max="4" width="21.140625" bestFit="1" customWidth="1"/>
    <col min="5" max="5" width="28.5703125" bestFit="1" customWidth="1"/>
    <col min="6" max="6" width="28.140625" bestFit="1" customWidth="1"/>
  </cols>
  <sheetData>
    <row r="1" spans="1:8" s="5" customFormat="1" x14ac:dyDescent="0.25"/>
    <row r="2" spans="1:8" ht="18.75" x14ac:dyDescent="0.3">
      <c r="A2" s="5"/>
      <c r="B2" s="29" t="s">
        <v>53</v>
      </c>
      <c r="C2" s="5"/>
      <c r="D2" s="5"/>
      <c r="E2" s="5"/>
      <c r="F2" s="5"/>
      <c r="G2" s="5"/>
      <c r="H2" s="5"/>
    </row>
    <row r="3" spans="1:8" x14ac:dyDescent="0.25">
      <c r="A3" s="5"/>
      <c r="B3" s="6" t="s">
        <v>54</v>
      </c>
      <c r="C3" s="7"/>
      <c r="D3" s="7"/>
      <c r="E3" s="7"/>
      <c r="F3" s="7"/>
      <c r="G3" s="7"/>
      <c r="H3" s="7"/>
    </row>
    <row r="4" spans="1:8" x14ac:dyDescent="0.25">
      <c r="A4" s="5"/>
      <c r="B4" s="6" t="s">
        <v>55</v>
      </c>
      <c r="C4" s="7"/>
      <c r="D4" s="7"/>
      <c r="E4" s="7"/>
      <c r="F4" s="7"/>
      <c r="G4" s="7"/>
      <c r="H4" s="7"/>
    </row>
    <row r="5" spans="1:8" x14ac:dyDescent="0.25">
      <c r="A5" s="5"/>
      <c r="B5" s="6" t="s">
        <v>56</v>
      </c>
      <c r="C5" s="7"/>
      <c r="D5" s="7"/>
      <c r="E5" s="7"/>
      <c r="F5" s="7"/>
      <c r="G5" s="7"/>
      <c r="H5" s="7"/>
    </row>
    <row r="6" spans="1:8" x14ac:dyDescent="0.25">
      <c r="A6" s="5"/>
      <c r="B6" s="6" t="s">
        <v>57</v>
      </c>
      <c r="C6" s="7"/>
      <c r="D6" s="7"/>
      <c r="E6" s="7"/>
      <c r="F6" s="7"/>
      <c r="G6" s="7"/>
      <c r="H6" s="7"/>
    </row>
    <row r="7" spans="1:8" x14ac:dyDescent="0.25">
      <c r="A7" s="5"/>
      <c r="B7" s="7"/>
      <c r="C7" s="7"/>
      <c r="D7" s="7"/>
      <c r="E7" s="7"/>
      <c r="F7" s="7"/>
      <c r="G7" s="7"/>
      <c r="H7" s="7"/>
    </row>
    <row r="8" spans="1:8" x14ac:dyDescent="0.25">
      <c r="A8" s="5"/>
      <c r="B8" s="5"/>
      <c r="C8" s="5"/>
      <c r="D8" s="5"/>
      <c r="E8" s="5"/>
      <c r="F8" s="5"/>
      <c r="G8" s="5"/>
      <c r="H8" s="5"/>
    </row>
    <row r="9" spans="1:8" ht="18.75" x14ac:dyDescent="0.3">
      <c r="A9" s="5"/>
      <c r="B9" s="66" t="s">
        <v>58</v>
      </c>
      <c r="C9" s="69" t="s">
        <v>59</v>
      </c>
      <c r="D9" s="5"/>
      <c r="E9" s="5"/>
      <c r="F9" s="5"/>
      <c r="G9" s="5"/>
      <c r="H9" s="5"/>
    </row>
    <row r="10" spans="1:8" x14ac:dyDescent="0.25">
      <c r="A10" s="5"/>
      <c r="B10" s="67" t="s">
        <v>60</v>
      </c>
      <c r="C10" s="70" t="s">
        <v>61</v>
      </c>
      <c r="D10" s="5"/>
      <c r="E10" s="5"/>
      <c r="F10" s="5"/>
      <c r="G10" s="5"/>
      <c r="H10" s="5"/>
    </row>
    <row r="11" spans="1:8" x14ac:dyDescent="0.25">
      <c r="A11" s="5"/>
      <c r="B11" s="67" t="s">
        <v>62</v>
      </c>
      <c r="C11" s="70" t="s">
        <v>63</v>
      </c>
      <c r="D11" s="5"/>
      <c r="E11" s="5"/>
      <c r="F11" s="5"/>
      <c r="G11" s="5"/>
      <c r="H11" s="5"/>
    </row>
    <row r="12" spans="1:8" x14ac:dyDescent="0.25">
      <c r="A12" s="5"/>
      <c r="B12" s="67" t="s">
        <v>64</v>
      </c>
      <c r="C12" s="70" t="s">
        <v>61</v>
      </c>
      <c r="D12" s="5"/>
      <c r="E12" s="5"/>
      <c r="F12" s="5"/>
      <c r="G12" s="5"/>
      <c r="H12" s="5"/>
    </row>
    <row r="13" spans="1:8" x14ac:dyDescent="0.25">
      <c r="A13" s="5"/>
      <c r="B13" s="67" t="s">
        <v>65</v>
      </c>
      <c r="C13" s="70" t="s">
        <v>61</v>
      </c>
      <c r="D13" s="5"/>
      <c r="E13" s="5"/>
      <c r="F13" s="5"/>
      <c r="G13" s="5"/>
      <c r="H13" s="5"/>
    </row>
    <row r="14" spans="1:8" x14ac:dyDescent="0.25">
      <c r="A14" s="5"/>
      <c r="B14" s="67" t="s">
        <v>46</v>
      </c>
      <c r="C14" s="70" t="s">
        <v>63</v>
      </c>
      <c r="D14" s="5"/>
      <c r="E14" s="5"/>
      <c r="F14" s="5"/>
      <c r="G14" s="5"/>
      <c r="H14" s="5"/>
    </row>
    <row r="15" spans="1:8" x14ac:dyDescent="0.25">
      <c r="A15" s="5"/>
      <c r="B15" s="67" t="s">
        <v>18</v>
      </c>
      <c r="C15" s="70" t="s">
        <v>63</v>
      </c>
      <c r="D15" s="5"/>
      <c r="E15" s="5"/>
      <c r="F15" s="5"/>
      <c r="G15" s="5"/>
      <c r="H15" s="5"/>
    </row>
    <row r="16" spans="1:8" x14ac:dyDescent="0.25">
      <c r="A16" s="5"/>
      <c r="B16" s="67" t="s">
        <v>11</v>
      </c>
      <c r="C16" s="70" t="s">
        <v>63</v>
      </c>
      <c r="D16" s="5"/>
      <c r="E16" s="5"/>
      <c r="F16" s="5"/>
      <c r="G16" s="5"/>
      <c r="H16" s="5"/>
    </row>
    <row r="17" spans="1:8" x14ac:dyDescent="0.25">
      <c r="A17" s="5"/>
      <c r="B17" s="67" t="s">
        <v>13</v>
      </c>
      <c r="C17" s="70" t="s">
        <v>61</v>
      </c>
      <c r="D17" s="5"/>
      <c r="E17" s="5"/>
      <c r="F17" s="5"/>
      <c r="G17" s="5"/>
      <c r="H17" s="5"/>
    </row>
    <row r="18" spans="1:8" x14ac:dyDescent="0.25">
      <c r="A18" s="5"/>
      <c r="B18" s="67" t="s">
        <v>12</v>
      </c>
      <c r="C18" s="70" t="s">
        <v>63</v>
      </c>
      <c r="D18" s="5"/>
      <c r="E18" s="5"/>
      <c r="F18" s="5"/>
      <c r="G18" s="5"/>
      <c r="H18" s="5"/>
    </row>
    <row r="19" spans="1:8" x14ac:dyDescent="0.25">
      <c r="A19" s="5"/>
      <c r="B19" s="67" t="s">
        <v>23</v>
      </c>
      <c r="C19" s="70" t="s">
        <v>63</v>
      </c>
      <c r="D19" s="5"/>
      <c r="E19" s="5"/>
      <c r="F19" s="5"/>
      <c r="G19" s="5"/>
      <c r="H19" s="5"/>
    </row>
    <row r="20" spans="1:8" x14ac:dyDescent="0.25">
      <c r="A20" s="5"/>
      <c r="B20" s="67" t="s">
        <v>21</v>
      </c>
      <c r="C20" s="70" t="s">
        <v>63</v>
      </c>
      <c r="D20" s="5"/>
      <c r="E20" s="5"/>
      <c r="F20" s="5"/>
      <c r="G20" s="5"/>
      <c r="H20" s="5"/>
    </row>
    <row r="21" spans="1:8" x14ac:dyDescent="0.25">
      <c r="A21" s="5"/>
      <c r="B21" s="68" t="s">
        <v>66</v>
      </c>
      <c r="C21" s="71" t="s">
        <v>61</v>
      </c>
      <c r="D21" s="5"/>
      <c r="E21" s="5"/>
      <c r="F21" s="5"/>
      <c r="G21" s="5"/>
      <c r="H21" s="5"/>
    </row>
    <row r="22" spans="1:8" x14ac:dyDescent="0.25">
      <c r="A22" s="5"/>
      <c r="B22" s="5"/>
      <c r="C22" s="5"/>
      <c r="D22" s="5"/>
      <c r="E22" s="5"/>
      <c r="F22" s="5"/>
      <c r="G22" s="5"/>
      <c r="H22" s="5"/>
    </row>
    <row r="23" spans="1:8" x14ac:dyDescent="0.25">
      <c r="A23" s="5"/>
      <c r="B23" s="5"/>
      <c r="C23" s="5"/>
      <c r="D23" s="5"/>
      <c r="E23" s="5"/>
      <c r="F23" s="5"/>
      <c r="G23" s="5"/>
      <c r="H23" s="5"/>
    </row>
    <row r="24" spans="1:8" x14ac:dyDescent="0.25">
      <c r="A24" s="5"/>
      <c r="B24" s="5"/>
      <c r="C24" s="5"/>
      <c r="D24" s="5"/>
      <c r="E24" s="5"/>
      <c r="F24" s="5"/>
      <c r="G24" s="5"/>
      <c r="H24" s="5"/>
    </row>
    <row r="25" spans="1:8" ht="18.75" x14ac:dyDescent="0.3">
      <c r="A25" s="5"/>
      <c r="B25" s="29" t="s">
        <v>67</v>
      </c>
      <c r="C25" s="5"/>
      <c r="D25" s="5"/>
      <c r="E25" s="5"/>
      <c r="F25" s="5"/>
      <c r="G25" s="5"/>
      <c r="H25" s="5"/>
    </row>
    <row r="26" spans="1:8" x14ac:dyDescent="0.25">
      <c r="A26" s="5"/>
      <c r="B26" s="6" t="s">
        <v>68</v>
      </c>
      <c r="C26" s="5"/>
      <c r="D26" s="5"/>
      <c r="E26" s="5"/>
      <c r="F26" s="5"/>
      <c r="G26" s="5"/>
      <c r="H26" s="5"/>
    </row>
    <row r="27" spans="1:8" x14ac:dyDescent="0.25">
      <c r="A27" s="5"/>
      <c r="B27" s="6" t="s">
        <v>69</v>
      </c>
      <c r="C27" s="5"/>
      <c r="D27" s="5"/>
      <c r="E27" s="5"/>
      <c r="F27" s="5"/>
      <c r="G27" s="5"/>
      <c r="H27" s="5"/>
    </row>
    <row r="28" spans="1:8" x14ac:dyDescent="0.25">
      <c r="A28" s="5"/>
      <c r="B28" s="6" t="s">
        <v>70</v>
      </c>
      <c r="C28" s="5"/>
      <c r="D28" s="5"/>
      <c r="E28" s="5"/>
      <c r="F28" s="5"/>
      <c r="G28" s="5"/>
      <c r="H28" s="5"/>
    </row>
    <row r="29" spans="1:8" x14ac:dyDescent="0.25">
      <c r="A29" s="5"/>
      <c r="B29" s="5"/>
      <c r="C29" s="5"/>
      <c r="D29" s="5"/>
      <c r="E29" s="5"/>
      <c r="F29" s="5"/>
      <c r="G29" s="5"/>
      <c r="H29" s="5"/>
    </row>
    <row r="30" spans="1:8" ht="18.75" x14ac:dyDescent="0.3">
      <c r="A30" s="5"/>
      <c r="B30" s="66" t="s">
        <v>58</v>
      </c>
      <c r="C30" s="72" t="s">
        <v>59</v>
      </c>
      <c r="D30" s="5"/>
      <c r="E30" s="5"/>
      <c r="F30" s="5"/>
      <c r="G30" s="5"/>
      <c r="H30" s="5"/>
    </row>
    <row r="31" spans="1:8" x14ac:dyDescent="0.25">
      <c r="A31" s="5"/>
      <c r="B31" s="67" t="s">
        <v>60</v>
      </c>
      <c r="C31" s="70" t="s">
        <v>71</v>
      </c>
      <c r="D31" s="5"/>
      <c r="E31" s="5"/>
      <c r="F31" s="5"/>
      <c r="G31" s="5"/>
      <c r="H31" s="5"/>
    </row>
    <row r="32" spans="1:8" x14ac:dyDescent="0.25">
      <c r="A32" s="5"/>
      <c r="B32" s="67" t="s">
        <v>13</v>
      </c>
      <c r="C32" s="70" t="s">
        <v>72</v>
      </c>
      <c r="D32" s="5"/>
      <c r="E32" s="5"/>
      <c r="F32" s="5"/>
      <c r="G32" s="5"/>
      <c r="H32" s="5"/>
    </row>
    <row r="33" spans="1:8" x14ac:dyDescent="0.25">
      <c r="A33" s="5"/>
      <c r="B33" s="67" t="s">
        <v>64</v>
      </c>
      <c r="C33" s="70" t="s">
        <v>71</v>
      </c>
      <c r="D33" s="5"/>
      <c r="E33" s="5"/>
      <c r="F33" s="5"/>
      <c r="G33" s="5"/>
      <c r="H33" s="5"/>
    </row>
    <row r="34" spans="1:8" x14ac:dyDescent="0.25">
      <c r="A34" s="5"/>
      <c r="B34" s="67" t="s">
        <v>65</v>
      </c>
      <c r="C34" s="70" t="s">
        <v>71</v>
      </c>
      <c r="D34" s="5"/>
      <c r="E34" s="5"/>
      <c r="F34" s="5"/>
      <c r="G34" s="5"/>
      <c r="H34" s="5"/>
    </row>
    <row r="35" spans="1:8" x14ac:dyDescent="0.25">
      <c r="A35" s="5"/>
      <c r="B35" s="67" t="s">
        <v>46</v>
      </c>
      <c r="C35" s="70" t="s">
        <v>73</v>
      </c>
      <c r="D35" s="5"/>
      <c r="E35" s="5"/>
      <c r="F35" s="5"/>
      <c r="G35" s="5"/>
      <c r="H35" s="5"/>
    </row>
    <row r="36" spans="1:8" x14ac:dyDescent="0.25">
      <c r="A36" s="5"/>
      <c r="B36" s="68" t="s">
        <v>66</v>
      </c>
      <c r="C36" s="71" t="s">
        <v>71</v>
      </c>
      <c r="D36" s="5"/>
      <c r="E36" s="5"/>
      <c r="F36" s="5"/>
      <c r="G36" s="5"/>
      <c r="H36" s="5"/>
    </row>
    <row r="37" spans="1:8" x14ac:dyDescent="0.25">
      <c r="A37" s="5"/>
      <c r="B37" s="5"/>
      <c r="C37" s="5"/>
      <c r="D37" s="5"/>
      <c r="E37" s="5"/>
      <c r="F37" s="5"/>
      <c r="G37" s="5"/>
      <c r="H37" s="5"/>
    </row>
    <row r="38" spans="1:8" x14ac:dyDescent="0.25">
      <c r="A38" s="5"/>
      <c r="B38" s="5"/>
      <c r="C38" s="5"/>
      <c r="D38" s="5"/>
      <c r="E38" s="5"/>
      <c r="F38" s="5"/>
      <c r="G38" s="5"/>
      <c r="H38" s="5"/>
    </row>
    <row r="39" spans="1:8" x14ac:dyDescent="0.25">
      <c r="A39" s="5"/>
      <c r="B39" s="5"/>
      <c r="C39" s="5"/>
      <c r="D39" s="5"/>
      <c r="E39" s="5"/>
      <c r="F39" s="5"/>
      <c r="G39" s="5"/>
      <c r="H39" s="5"/>
    </row>
    <row r="40" spans="1:8" ht="18.75" x14ac:dyDescent="0.3">
      <c r="A40" s="5"/>
      <c r="B40" s="29" t="s">
        <v>74</v>
      </c>
      <c r="C40" s="5"/>
      <c r="D40" s="5"/>
      <c r="E40" s="5"/>
      <c r="F40" s="5"/>
      <c r="G40" s="5"/>
      <c r="H40" s="5"/>
    </row>
    <row r="41" spans="1:8" x14ac:dyDescent="0.25">
      <c r="A41" s="5"/>
      <c r="B41" s="6" t="s">
        <v>75</v>
      </c>
      <c r="C41" s="5"/>
      <c r="D41" s="5"/>
      <c r="E41" s="5"/>
      <c r="F41" s="5"/>
      <c r="G41" s="5"/>
      <c r="H41" s="5"/>
    </row>
    <row r="42" spans="1:8" x14ac:dyDescent="0.25">
      <c r="A42" s="5"/>
      <c r="B42" s="6" t="s">
        <v>76</v>
      </c>
      <c r="C42" s="5"/>
      <c r="D42" s="5"/>
      <c r="E42" s="5"/>
      <c r="F42" s="5"/>
      <c r="G42" s="5"/>
      <c r="H42" s="5"/>
    </row>
    <row r="43" spans="1:8" x14ac:dyDescent="0.25">
      <c r="A43" s="5"/>
      <c r="B43" s="6" t="s">
        <v>77</v>
      </c>
      <c r="C43" s="5"/>
      <c r="D43" s="5"/>
      <c r="E43" s="5"/>
      <c r="F43" s="5"/>
      <c r="G43" s="5"/>
      <c r="H43" s="5"/>
    </row>
    <row r="44" spans="1:8" x14ac:dyDescent="0.25">
      <c r="A44" s="5"/>
      <c r="B44" s="5"/>
      <c r="C44" s="5"/>
      <c r="D44" s="5"/>
      <c r="E44" s="5"/>
      <c r="F44" s="5"/>
      <c r="G44" s="5"/>
      <c r="H44" s="5"/>
    </row>
    <row r="45" spans="1:8" x14ac:dyDescent="0.25">
      <c r="A45" s="5"/>
      <c r="B45" s="8" t="s">
        <v>78</v>
      </c>
      <c r="C45" s="5"/>
      <c r="D45" s="5"/>
      <c r="E45" s="5"/>
      <c r="F45" s="5"/>
      <c r="G45" s="5"/>
      <c r="H45" s="5"/>
    </row>
    <row r="46" spans="1:8" x14ac:dyDescent="0.25">
      <c r="A46" s="5"/>
      <c r="B46" s="8"/>
      <c r="C46" s="5"/>
      <c r="D46" s="5"/>
      <c r="E46" s="5"/>
      <c r="F46" s="5"/>
      <c r="G46" s="5"/>
      <c r="H46" s="5"/>
    </row>
    <row r="47" spans="1:8" x14ac:dyDescent="0.25">
      <c r="A47" s="5"/>
      <c r="B47" s="6" t="s">
        <v>122</v>
      </c>
      <c r="C47" s="5"/>
      <c r="D47" s="5"/>
      <c r="E47" s="5"/>
      <c r="F47" s="5"/>
      <c r="G47" s="5"/>
      <c r="H47" s="5"/>
    </row>
    <row r="48" spans="1:8" x14ac:dyDescent="0.25">
      <c r="A48" s="5"/>
      <c r="B48" s="6" t="s">
        <v>121</v>
      </c>
      <c r="C48" s="5"/>
      <c r="D48" s="5"/>
      <c r="E48" s="5"/>
      <c r="F48" s="5"/>
      <c r="G48" s="5"/>
      <c r="H48" s="5"/>
    </row>
    <row r="49" spans="1:8" x14ac:dyDescent="0.25">
      <c r="A49" s="5"/>
      <c r="B49" s="8"/>
      <c r="C49" s="5"/>
      <c r="D49" s="5"/>
      <c r="E49" s="5"/>
      <c r="F49" s="5"/>
      <c r="G49" s="5"/>
      <c r="H49" s="5"/>
    </row>
    <row r="50" spans="1:8" ht="18.75" x14ac:dyDescent="0.3">
      <c r="A50" s="5"/>
      <c r="B50" s="30" t="s">
        <v>79</v>
      </c>
      <c r="C50" s="5"/>
      <c r="D50" s="5"/>
      <c r="E50" s="5"/>
      <c r="F50" s="5"/>
      <c r="G50" s="5"/>
      <c r="H50" s="5"/>
    </row>
    <row r="51" spans="1:8" x14ac:dyDescent="0.25">
      <c r="A51" s="5"/>
      <c r="B51" s="5" t="s">
        <v>80</v>
      </c>
      <c r="C51" s="5"/>
      <c r="D51" s="5"/>
      <c r="E51" s="5"/>
      <c r="F51" s="5"/>
      <c r="G51" s="5"/>
      <c r="H51" s="5"/>
    </row>
    <row r="52" spans="1:8" x14ac:dyDescent="0.25">
      <c r="A52" s="5"/>
      <c r="B52" s="5" t="s">
        <v>81</v>
      </c>
      <c r="C52" s="5"/>
      <c r="D52" s="5"/>
      <c r="E52" s="5"/>
      <c r="F52" s="5"/>
      <c r="G52" s="5"/>
      <c r="H52" s="5"/>
    </row>
    <row r="53" spans="1:8" x14ac:dyDescent="0.25">
      <c r="A53" s="5"/>
      <c r="B53" s="5" t="s">
        <v>82</v>
      </c>
      <c r="C53" s="5"/>
      <c r="D53" s="5"/>
      <c r="E53" s="5"/>
      <c r="F53" s="5"/>
      <c r="G53" s="5"/>
      <c r="H53" s="5"/>
    </row>
    <row r="54" spans="1:8" x14ac:dyDescent="0.25">
      <c r="A54" s="5"/>
      <c r="B54" s="5"/>
      <c r="C54" s="5"/>
      <c r="D54" s="5"/>
      <c r="E54" s="5"/>
      <c r="F54" s="5"/>
      <c r="G54" s="5"/>
      <c r="H54" s="5"/>
    </row>
    <row r="55" spans="1:8" x14ac:dyDescent="0.25">
      <c r="A55" s="5"/>
      <c r="B55" s="9" t="s">
        <v>83</v>
      </c>
      <c r="C55" s="5"/>
      <c r="D55" s="5"/>
      <c r="E55" s="5"/>
      <c r="F55" s="5"/>
      <c r="G55" s="5"/>
      <c r="H55" s="5"/>
    </row>
    <row r="56" spans="1:8" x14ac:dyDescent="0.25">
      <c r="A56" s="5"/>
      <c r="B56" s="10" t="s">
        <v>84</v>
      </c>
      <c r="C56" s="5"/>
      <c r="D56" s="5"/>
      <c r="E56" s="5"/>
      <c r="F56" s="5"/>
      <c r="G56" s="5"/>
      <c r="H56" s="5"/>
    </row>
    <row r="57" spans="1:8" x14ac:dyDescent="0.25">
      <c r="A57" s="5"/>
      <c r="B57" s="5"/>
      <c r="C57" s="5"/>
      <c r="D57" s="5"/>
      <c r="E57" s="5"/>
      <c r="F57" s="5"/>
      <c r="G57" s="5"/>
      <c r="H57" s="5"/>
    </row>
    <row r="58" spans="1:8" x14ac:dyDescent="0.25">
      <c r="A58" s="5"/>
      <c r="B58" s="5"/>
      <c r="C58" s="11" t="s">
        <v>85</v>
      </c>
      <c r="D58" s="11" t="s">
        <v>86</v>
      </c>
      <c r="E58" s="5"/>
      <c r="F58" s="5"/>
      <c r="G58" s="5"/>
      <c r="H58" s="5"/>
    </row>
    <row r="59" spans="1:8" x14ac:dyDescent="0.25">
      <c r="A59" s="5"/>
      <c r="B59" s="5"/>
      <c r="C59" s="12">
        <f>50000/5</f>
        <v>10000</v>
      </c>
      <c r="D59" s="12">
        <f>1*50000</f>
        <v>50000</v>
      </c>
      <c r="E59" s="5"/>
      <c r="F59" s="5"/>
      <c r="G59" s="5"/>
      <c r="H59" s="5"/>
    </row>
    <row r="60" spans="1:8" x14ac:dyDescent="0.25">
      <c r="A60" s="5"/>
      <c r="B60" s="2"/>
      <c r="C60" s="6"/>
      <c r="D60" s="6"/>
      <c r="E60" s="5"/>
      <c r="F60" s="5"/>
      <c r="G60" s="5"/>
      <c r="H60" s="5"/>
    </row>
    <row r="61" spans="1:8" x14ac:dyDescent="0.25">
      <c r="A61" s="5"/>
      <c r="B61" s="13"/>
      <c r="C61" s="6"/>
      <c r="D61" s="5"/>
      <c r="E61" s="5"/>
      <c r="F61" s="5"/>
      <c r="G61" s="5"/>
      <c r="H61" s="5"/>
    </row>
    <row r="62" spans="1:8" x14ac:dyDescent="0.25">
      <c r="A62" s="5"/>
      <c r="B62" s="5"/>
      <c r="C62" s="11" t="s">
        <v>87</v>
      </c>
      <c r="D62" s="14">
        <f>C59-D59</f>
        <v>-40000</v>
      </c>
      <c r="E62" s="5"/>
      <c r="F62" s="5"/>
      <c r="G62" s="5"/>
      <c r="H62" s="5"/>
    </row>
    <row r="63" spans="1:8" ht="18.75" x14ac:dyDescent="0.3">
      <c r="A63" s="5"/>
      <c r="B63" s="83" t="s">
        <v>88</v>
      </c>
      <c r="C63" s="84"/>
      <c r="D63" s="15" t="s">
        <v>72</v>
      </c>
      <c r="E63" s="5"/>
      <c r="F63" s="5"/>
      <c r="G63" s="5"/>
      <c r="H63" s="5"/>
    </row>
    <row r="64" spans="1:8" ht="18.75" x14ac:dyDescent="0.3">
      <c r="A64" s="5"/>
      <c r="B64" s="31" t="s">
        <v>89</v>
      </c>
      <c r="C64" s="85" t="s">
        <v>90</v>
      </c>
      <c r="D64" s="86"/>
      <c r="E64" s="5"/>
      <c r="F64" s="5"/>
      <c r="G64" s="5"/>
      <c r="H64" s="5"/>
    </row>
    <row r="65" spans="1:8" x14ac:dyDescent="0.25">
      <c r="A65" s="5"/>
      <c r="B65" s="16"/>
      <c r="C65" s="6"/>
      <c r="D65" s="5"/>
      <c r="E65" s="5"/>
      <c r="F65" s="5"/>
      <c r="G65" s="5"/>
      <c r="H65" s="5"/>
    </row>
    <row r="66" spans="1:8" x14ac:dyDescent="0.25">
      <c r="A66" s="5"/>
      <c r="B66" s="16" t="s">
        <v>120</v>
      </c>
      <c r="C66" s="6"/>
      <c r="D66" s="5"/>
      <c r="E66" s="5"/>
      <c r="F66" s="5"/>
      <c r="G66" s="5"/>
      <c r="H66" s="5"/>
    </row>
    <row r="67" spans="1:8" x14ac:dyDescent="0.25">
      <c r="A67" s="5"/>
      <c r="B67" s="16" t="s">
        <v>91</v>
      </c>
      <c r="C67" s="6"/>
      <c r="D67" s="5"/>
      <c r="E67" s="5"/>
      <c r="F67" s="5"/>
      <c r="G67" s="5"/>
      <c r="H67" s="5"/>
    </row>
    <row r="68" spans="1:8" x14ac:dyDescent="0.25">
      <c r="A68" s="5"/>
      <c r="B68" s="5"/>
      <c r="C68" s="5"/>
      <c r="D68" s="5"/>
      <c r="E68" s="5"/>
      <c r="F68" s="5"/>
      <c r="G68" s="5"/>
      <c r="H68" s="5"/>
    </row>
    <row r="69" spans="1:8" x14ac:dyDescent="0.25">
      <c r="A69" s="5"/>
      <c r="B69" s="5"/>
      <c r="C69" s="5"/>
      <c r="D69" s="5"/>
      <c r="E69" s="5"/>
      <c r="F69" s="5"/>
      <c r="G69" s="5"/>
      <c r="H69" s="5"/>
    </row>
    <row r="70" spans="1:8" ht="18.75" x14ac:dyDescent="0.3">
      <c r="A70" s="5"/>
      <c r="B70" s="29" t="s">
        <v>92</v>
      </c>
      <c r="C70" s="5"/>
      <c r="D70" s="5"/>
      <c r="E70" s="5"/>
      <c r="F70" s="5"/>
      <c r="G70" s="5"/>
      <c r="H70" s="5"/>
    </row>
    <row r="71" spans="1:8" x14ac:dyDescent="0.25">
      <c r="A71" s="5"/>
      <c r="B71" s="6" t="s">
        <v>93</v>
      </c>
      <c r="C71" s="5"/>
      <c r="D71" s="5"/>
      <c r="E71" s="5"/>
      <c r="F71" s="5"/>
      <c r="G71" s="5"/>
      <c r="H71" s="5"/>
    </row>
    <row r="72" spans="1:8" x14ac:dyDescent="0.25">
      <c r="A72" s="5"/>
      <c r="B72" s="5"/>
      <c r="C72" s="5"/>
      <c r="D72" s="5"/>
      <c r="E72" s="5"/>
      <c r="F72" s="5"/>
      <c r="G72" s="5"/>
      <c r="H72" s="5"/>
    </row>
    <row r="73" spans="1:8" ht="18.75" x14ac:dyDescent="0.3">
      <c r="A73" s="5"/>
      <c r="B73" s="32" t="s">
        <v>94</v>
      </c>
      <c r="C73" s="33" t="s">
        <v>85</v>
      </c>
      <c r="D73" s="33" t="s">
        <v>86</v>
      </c>
      <c r="E73" s="33" t="s">
        <v>95</v>
      </c>
      <c r="F73" s="33" t="s">
        <v>88</v>
      </c>
      <c r="G73" s="5"/>
    </row>
    <row r="74" spans="1:8" x14ac:dyDescent="0.25">
      <c r="A74" s="5"/>
      <c r="B74" s="17">
        <v>2026</v>
      </c>
      <c r="C74" s="18">
        <v>10000</v>
      </c>
      <c r="D74" s="19">
        <v>0</v>
      </c>
      <c r="E74" s="20">
        <f t="shared" ref="E74:E77" si="0">C74-D74</f>
        <v>10000</v>
      </c>
      <c r="F74" s="19" t="s">
        <v>71</v>
      </c>
      <c r="G74" s="5"/>
    </row>
    <row r="75" spans="1:8" x14ac:dyDescent="0.25">
      <c r="A75" s="5"/>
      <c r="B75" s="17">
        <v>2027</v>
      </c>
      <c r="C75" s="18">
        <v>10000</v>
      </c>
      <c r="D75" s="19">
        <v>0</v>
      </c>
      <c r="E75" s="20">
        <f t="shared" si="0"/>
        <v>10000</v>
      </c>
      <c r="F75" s="19" t="s">
        <v>71</v>
      </c>
      <c r="G75" s="5"/>
    </row>
    <row r="76" spans="1:8" x14ac:dyDescent="0.25">
      <c r="A76" s="5"/>
      <c r="B76" s="17">
        <v>2028</v>
      </c>
      <c r="C76" s="18">
        <v>10000</v>
      </c>
      <c r="D76" s="19">
        <v>0</v>
      </c>
      <c r="E76" s="20">
        <f t="shared" si="0"/>
        <v>10000</v>
      </c>
      <c r="F76" s="19" t="s">
        <v>71</v>
      </c>
      <c r="G76" s="5"/>
    </row>
    <row r="77" spans="1:8" x14ac:dyDescent="0.25">
      <c r="A77" s="5"/>
      <c r="B77" s="17">
        <v>2029</v>
      </c>
      <c r="C77" s="18">
        <v>10000</v>
      </c>
      <c r="D77" s="19">
        <v>0</v>
      </c>
      <c r="E77" s="20">
        <f t="shared" si="0"/>
        <v>10000</v>
      </c>
      <c r="F77" s="19" t="s">
        <v>71</v>
      </c>
      <c r="G77" s="5"/>
    </row>
    <row r="78" spans="1:8" x14ac:dyDescent="0.25">
      <c r="A78" s="5"/>
      <c r="B78" s="5"/>
      <c r="C78" s="5"/>
      <c r="D78" s="5"/>
      <c r="E78" s="5"/>
      <c r="F78" s="5"/>
      <c r="G78" s="6"/>
      <c r="H78" s="5"/>
    </row>
    <row r="79" spans="1:8" x14ac:dyDescent="0.25">
      <c r="A79" s="3"/>
      <c r="B79" s="3"/>
    </row>
    <row r="80" spans="1:8" x14ac:dyDescent="0.25">
      <c r="A80" s="4"/>
      <c r="B80" s="4"/>
    </row>
    <row r="81" spans="1:2" x14ac:dyDescent="0.25">
      <c r="A81" s="4"/>
      <c r="B81" s="4"/>
    </row>
    <row r="82" spans="1:2" x14ac:dyDescent="0.25">
      <c r="A82" s="5"/>
      <c r="B82" s="5"/>
    </row>
    <row r="83" spans="1:2" x14ac:dyDescent="0.25">
      <c r="A83" s="5"/>
      <c r="B83" s="5"/>
    </row>
    <row r="84" spans="1:2" x14ac:dyDescent="0.25">
      <c r="A84" s="5"/>
      <c r="B84" s="5"/>
    </row>
    <row r="85" spans="1:2" x14ac:dyDescent="0.25">
      <c r="A85" s="5"/>
      <c r="B85" s="5"/>
    </row>
    <row r="86" spans="1:2" x14ac:dyDescent="0.25">
      <c r="A86" s="5"/>
      <c r="B86" s="5"/>
    </row>
    <row r="87" spans="1:2" x14ac:dyDescent="0.25">
      <c r="A87" s="5"/>
      <c r="B87" s="5"/>
    </row>
    <row r="88" spans="1:2" x14ac:dyDescent="0.25">
      <c r="A88" s="3"/>
      <c r="B88" s="3"/>
    </row>
    <row r="89" spans="1:2" x14ac:dyDescent="0.25">
      <c r="A89" s="5"/>
      <c r="B89" s="5"/>
    </row>
    <row r="90" spans="1:2" x14ac:dyDescent="0.25">
      <c r="A90" s="3"/>
      <c r="B90" s="3"/>
    </row>
    <row r="91" spans="1:2" x14ac:dyDescent="0.25">
      <c r="A91" s="5"/>
      <c r="B91" s="5"/>
    </row>
    <row r="92" spans="1:2" x14ac:dyDescent="0.25">
      <c r="A92" s="3"/>
      <c r="B92" s="3"/>
    </row>
    <row r="93" spans="1:2" x14ac:dyDescent="0.25">
      <c r="A93" s="5"/>
      <c r="B93" s="5"/>
    </row>
  </sheetData>
  <mergeCells count="2">
    <mergeCell ref="B63:C63"/>
    <mergeCell ref="C64:D64"/>
  </mergeCells>
  <dataValidations count="2">
    <dataValidation type="list" allowBlank="1" showErrorMessage="1" sqref="D63 F74:F77" xr:uid="{1E317F2F-A7E4-40B2-A109-E315A6A44A98}">
      <formula1>"Favorable,Unfavorable"</formula1>
    </dataValidation>
    <dataValidation type="list" allowBlank="1" showErrorMessage="1" sqref="C10:C21" xr:uid="{D0C137BC-B334-42BB-AD51-A9C45FFA8419}">
      <formula1>"Permanent,Temporary"</formula1>
    </dataValidation>
  </dataValidations>
  <hyperlinks>
    <hyperlink ref="B55" r:id="rId1" display="https://www.irs.gov/publications/p946" xr:uid="{D56FC209-4B71-4A99-A4F9-CD5E8E78A1A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3624-9D1F-41F0-B766-2F7A9AF4B1D3}">
  <sheetPr>
    <tabColor rgb="FFFFFF00"/>
  </sheetPr>
  <dimension ref="B1:F36"/>
  <sheetViews>
    <sheetView showGridLines="0" zoomScale="70" zoomScaleNormal="70" workbookViewId="0">
      <selection activeCell="J23" sqref="J23"/>
    </sheetView>
  </sheetViews>
  <sheetFormatPr defaultRowHeight="15" x14ac:dyDescent="0.25"/>
  <cols>
    <col min="1" max="1" width="2.28515625" customWidth="1"/>
    <col min="2" max="2" width="34.85546875" bestFit="1" customWidth="1"/>
    <col min="3" max="3" width="18.140625" bestFit="1" customWidth="1"/>
    <col min="5" max="5" width="16.7109375" bestFit="1" customWidth="1"/>
  </cols>
  <sheetData>
    <row r="1" spans="2:6" s="5" customFormat="1" x14ac:dyDescent="0.25"/>
    <row r="2" spans="2:6" s="5" customFormat="1" ht="18.75" x14ac:dyDescent="0.25">
      <c r="B2" s="77" t="s">
        <v>119</v>
      </c>
    </row>
    <row r="3" spans="2:6" ht="18.75" x14ac:dyDescent="0.25">
      <c r="B3" s="78" t="s">
        <v>97</v>
      </c>
      <c r="C3" s="21"/>
      <c r="D3" s="21"/>
      <c r="E3" s="21"/>
      <c r="F3" s="21"/>
    </row>
    <row r="4" spans="2:6" ht="18.75" x14ac:dyDescent="0.25">
      <c r="B4" s="79">
        <v>46022</v>
      </c>
      <c r="C4" s="21"/>
      <c r="D4" s="21"/>
      <c r="E4" s="22" t="s">
        <v>98</v>
      </c>
      <c r="F4" s="21"/>
    </row>
    <row r="5" spans="2:6" x14ac:dyDescent="0.25">
      <c r="B5" s="21"/>
      <c r="C5" s="21"/>
      <c r="D5" s="21"/>
      <c r="E5" s="23" t="s">
        <v>99</v>
      </c>
      <c r="F5" s="21"/>
    </row>
    <row r="6" spans="2:6" x14ac:dyDescent="0.25">
      <c r="B6" s="21"/>
      <c r="D6" s="21"/>
      <c r="E6" s="25" t="s">
        <v>100</v>
      </c>
      <c r="F6" s="21"/>
    </row>
    <row r="7" spans="2:6" x14ac:dyDescent="0.25">
      <c r="B7" s="21"/>
      <c r="C7" s="21"/>
      <c r="D7" s="21"/>
      <c r="E7" s="26" t="s">
        <v>101</v>
      </c>
      <c r="F7" s="21"/>
    </row>
    <row r="8" spans="2:6" x14ac:dyDescent="0.25">
      <c r="B8" s="34" t="s">
        <v>102</v>
      </c>
      <c r="C8" s="35"/>
      <c r="D8" s="21"/>
      <c r="E8" s="21"/>
      <c r="F8" s="21"/>
    </row>
    <row r="9" spans="2:6" x14ac:dyDescent="0.25">
      <c r="B9" s="36" t="s">
        <v>103</v>
      </c>
      <c r="C9" s="37">
        <v>2800000</v>
      </c>
      <c r="D9" s="21"/>
      <c r="E9" s="21"/>
      <c r="F9" s="21"/>
    </row>
    <row r="10" spans="2:6" x14ac:dyDescent="0.25">
      <c r="B10" s="38"/>
      <c r="C10" s="39"/>
    </row>
    <row r="11" spans="2:6" x14ac:dyDescent="0.25">
      <c r="B11" s="40" t="s">
        <v>104</v>
      </c>
      <c r="C11" s="41"/>
      <c r="D11" s="21"/>
      <c r="E11" s="21"/>
      <c r="F11" s="21"/>
    </row>
    <row r="12" spans="2:6" x14ac:dyDescent="0.25">
      <c r="B12" s="36" t="s">
        <v>105</v>
      </c>
      <c r="C12" s="42">
        <v>598200</v>
      </c>
      <c r="D12" s="21"/>
      <c r="E12" s="21"/>
      <c r="F12" s="21"/>
    </row>
    <row r="13" spans="2:6" x14ac:dyDescent="0.25">
      <c r="B13" s="38"/>
      <c r="C13" s="39"/>
    </row>
    <row r="14" spans="2:6" x14ac:dyDescent="0.25">
      <c r="B14" s="36" t="s">
        <v>106</v>
      </c>
      <c r="C14" s="43">
        <v>3398200</v>
      </c>
      <c r="D14" s="21"/>
      <c r="E14" s="21"/>
      <c r="F14" s="21"/>
    </row>
    <row r="15" spans="2:6" x14ac:dyDescent="0.25">
      <c r="B15" s="38"/>
      <c r="C15" s="39"/>
    </row>
    <row r="16" spans="2:6" x14ac:dyDescent="0.25">
      <c r="B16" s="40" t="s">
        <v>107</v>
      </c>
      <c r="C16" s="41"/>
      <c r="D16" s="21"/>
      <c r="E16" s="21"/>
      <c r="F16" s="21"/>
    </row>
    <row r="17" spans="2:6" x14ac:dyDescent="0.25">
      <c r="B17" s="36" t="s">
        <v>108</v>
      </c>
      <c r="C17" s="44">
        <v>212000</v>
      </c>
      <c r="D17" s="21"/>
      <c r="E17" s="21"/>
      <c r="F17" s="24"/>
    </row>
    <row r="18" spans="2:6" x14ac:dyDescent="0.25">
      <c r="B18" s="36" t="s">
        <v>109</v>
      </c>
      <c r="C18" s="42">
        <v>115000</v>
      </c>
      <c r="D18" s="21"/>
      <c r="E18" s="21"/>
      <c r="F18" s="21"/>
    </row>
    <row r="19" spans="2:6" x14ac:dyDescent="0.25">
      <c r="B19" s="36" t="s">
        <v>110</v>
      </c>
      <c r="C19" s="45">
        <v>0</v>
      </c>
      <c r="D19" s="21"/>
      <c r="E19" s="21"/>
      <c r="F19" s="21"/>
    </row>
    <row r="20" spans="2:6" x14ac:dyDescent="0.25">
      <c r="B20" s="36" t="s">
        <v>111</v>
      </c>
      <c r="C20" s="46">
        <v>-15000</v>
      </c>
      <c r="D20" s="21"/>
      <c r="E20" s="21"/>
      <c r="F20" s="21"/>
    </row>
    <row r="21" spans="2:6" x14ac:dyDescent="0.25">
      <c r="B21" s="40" t="s">
        <v>112</v>
      </c>
      <c r="C21" s="43">
        <v>312000</v>
      </c>
      <c r="D21" s="21"/>
      <c r="E21" s="21"/>
      <c r="F21" s="21"/>
    </row>
    <row r="22" spans="2:6" x14ac:dyDescent="0.25">
      <c r="B22" s="40"/>
      <c r="C22" s="41"/>
      <c r="D22" s="21"/>
      <c r="E22" s="21"/>
      <c r="F22" s="21"/>
    </row>
    <row r="23" spans="2:6" x14ac:dyDescent="0.25">
      <c r="B23" s="40"/>
      <c r="C23" s="41"/>
      <c r="D23" s="21"/>
      <c r="E23" s="21"/>
      <c r="F23" s="21"/>
    </row>
    <row r="24" spans="2:6" x14ac:dyDescent="0.25">
      <c r="B24" s="40" t="s">
        <v>113</v>
      </c>
      <c r="C24" s="41"/>
      <c r="D24" s="21"/>
      <c r="E24" s="21"/>
      <c r="F24" s="21"/>
    </row>
    <row r="25" spans="2:6" x14ac:dyDescent="0.25">
      <c r="B25" s="36" t="s">
        <v>114</v>
      </c>
      <c r="C25" s="47">
        <v>-216400</v>
      </c>
      <c r="D25" s="27"/>
      <c r="E25" s="21"/>
      <c r="F25" s="21"/>
    </row>
    <row r="26" spans="2:6" x14ac:dyDescent="0.25">
      <c r="B26" s="36" t="s">
        <v>18</v>
      </c>
      <c r="C26" s="44">
        <v>34000</v>
      </c>
      <c r="D26" s="21"/>
      <c r="E26" s="21"/>
      <c r="F26" s="21"/>
    </row>
    <row r="27" spans="2:6" x14ac:dyDescent="0.25">
      <c r="B27" s="36" t="s">
        <v>11</v>
      </c>
      <c r="C27" s="42">
        <v>-60000</v>
      </c>
      <c r="D27" s="28"/>
      <c r="E27" s="21"/>
      <c r="F27" s="21"/>
    </row>
    <row r="28" spans="2:6" x14ac:dyDescent="0.25">
      <c r="B28" s="36" t="s">
        <v>12</v>
      </c>
      <c r="C28" s="42">
        <v>-9500</v>
      </c>
      <c r="D28" s="21"/>
      <c r="E28" s="21"/>
      <c r="F28" s="21"/>
    </row>
    <row r="29" spans="2:6" x14ac:dyDescent="0.25">
      <c r="B29" s="36" t="s">
        <v>21</v>
      </c>
      <c r="C29" s="48">
        <v>0</v>
      </c>
      <c r="D29" s="21"/>
      <c r="E29" s="21"/>
      <c r="F29" s="21"/>
    </row>
    <row r="30" spans="2:6" x14ac:dyDescent="0.25">
      <c r="B30" s="40" t="s">
        <v>115</v>
      </c>
      <c r="C30" s="43">
        <v>-251900</v>
      </c>
      <c r="D30" s="21"/>
      <c r="E30" s="21"/>
      <c r="F30" s="21"/>
    </row>
    <row r="31" spans="2:6" x14ac:dyDescent="0.25">
      <c r="B31" s="38"/>
      <c r="C31" s="39"/>
    </row>
    <row r="32" spans="2:6" x14ac:dyDescent="0.25">
      <c r="B32" s="40" t="s">
        <v>116</v>
      </c>
      <c r="C32" s="43">
        <v>3458300</v>
      </c>
      <c r="D32" s="21"/>
      <c r="E32" s="21"/>
      <c r="F32" s="21"/>
    </row>
    <row r="33" spans="2:6" x14ac:dyDescent="0.25">
      <c r="B33" s="49"/>
      <c r="C33" s="50"/>
      <c r="D33" s="21"/>
      <c r="E33" s="21"/>
      <c r="F33" s="21"/>
    </row>
    <row r="34" spans="2:6" x14ac:dyDescent="0.25">
      <c r="B34" s="40" t="s">
        <v>117</v>
      </c>
      <c r="C34" s="51">
        <v>0.21</v>
      </c>
      <c r="D34" s="21"/>
      <c r="E34" s="21"/>
      <c r="F34" s="21"/>
    </row>
    <row r="35" spans="2:6" x14ac:dyDescent="0.25">
      <c r="B35" s="40"/>
      <c r="C35" s="51"/>
      <c r="D35" s="21"/>
      <c r="E35" s="21"/>
      <c r="F35" s="21"/>
    </row>
    <row r="36" spans="2:6" x14ac:dyDescent="0.25">
      <c r="B36" s="52" t="s">
        <v>118</v>
      </c>
      <c r="C36" s="53">
        <v>726243</v>
      </c>
      <c r="D36" s="21"/>
      <c r="E36" s="21"/>
      <c r="F36"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50FF-4E0F-4E6C-833F-531B3D25BB7C}">
  <sheetPr>
    <tabColor rgb="FFFFFF00"/>
  </sheetPr>
  <dimension ref="B1:AG40"/>
  <sheetViews>
    <sheetView showGridLines="0" tabSelected="1" zoomScaleNormal="100" workbookViewId="0">
      <selection activeCell="B7" sqref="B7"/>
    </sheetView>
  </sheetViews>
  <sheetFormatPr defaultRowHeight="15" x14ac:dyDescent="0.25"/>
  <cols>
    <col min="1" max="1" width="2.28515625" customWidth="1"/>
  </cols>
  <sheetData>
    <row r="1" spans="2:33" s="5" customFormat="1" x14ac:dyDescent="0.25"/>
    <row r="2" spans="2:33" s="5" customFormat="1" ht="18.75" x14ac:dyDescent="0.3">
      <c r="B2" s="30" t="s">
        <v>139</v>
      </c>
    </row>
    <row r="3" spans="2:33" s="5" customFormat="1" x14ac:dyDescent="0.25"/>
    <row r="4" spans="2:33" x14ac:dyDescent="0.25">
      <c r="B4" s="54"/>
    </row>
    <row r="5" spans="2:33" ht="15.75" x14ac:dyDescent="0.25">
      <c r="B5" s="10" t="s">
        <v>141</v>
      </c>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row>
    <row r="6" spans="2:33" x14ac:dyDescent="0.25">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row>
    <row r="7" spans="2:33" ht="15.75" x14ac:dyDescent="0.25">
      <c r="B7" s="3" t="s">
        <v>164</v>
      </c>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row>
    <row r="8" spans="2:33" x14ac:dyDescent="0.25">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row>
    <row r="9" spans="2:33" x14ac:dyDescent="0.25">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row>
    <row r="10" spans="2:33" x14ac:dyDescent="0.25">
      <c r="B10" s="10" t="s">
        <v>140</v>
      </c>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row>
    <row r="11" spans="2:33" x14ac:dyDescent="0.2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row>
    <row r="12" spans="2:33" x14ac:dyDescent="0.25">
      <c r="B12" s="55" t="s">
        <v>123</v>
      </c>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row>
    <row r="13" spans="2:33" x14ac:dyDescent="0.2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row>
    <row r="14" spans="2:33" x14ac:dyDescent="0.25">
      <c r="B14" s="3" t="s">
        <v>130</v>
      </c>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row>
    <row r="15" spans="2:33" x14ac:dyDescent="0.2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row>
    <row r="16" spans="2:33" x14ac:dyDescent="0.25">
      <c r="B16" s="55" t="s">
        <v>124</v>
      </c>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row>
    <row r="17" spans="2:33" x14ac:dyDescent="0.25">
      <c r="B17" s="55" t="s">
        <v>131</v>
      </c>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row>
    <row r="18" spans="2:33" x14ac:dyDescent="0.2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row>
    <row r="19" spans="2:33" x14ac:dyDescent="0.25">
      <c r="B19" s="55" t="s">
        <v>132</v>
      </c>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row>
    <row r="20" spans="2:33" x14ac:dyDescent="0.2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row>
    <row r="21" spans="2:33" x14ac:dyDescent="0.25">
      <c r="B21" s="3" t="s">
        <v>133</v>
      </c>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row>
    <row r="22" spans="2:33" x14ac:dyDescent="0.2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row>
    <row r="23" spans="2:33" x14ac:dyDescent="0.25">
      <c r="B23" s="55" t="s">
        <v>125</v>
      </c>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row>
    <row r="24" spans="2:33" x14ac:dyDescent="0.25">
      <c r="B24" s="55" t="s">
        <v>136</v>
      </c>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row>
    <row r="25" spans="2:33" x14ac:dyDescent="0.2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row>
    <row r="26" spans="2:33" x14ac:dyDescent="0.25">
      <c r="B26" s="55" t="s">
        <v>137</v>
      </c>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row>
    <row r="27" spans="2:33" x14ac:dyDescent="0.2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row>
    <row r="28" spans="2:33" x14ac:dyDescent="0.25">
      <c r="B28" s="55" t="s">
        <v>126</v>
      </c>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row>
    <row r="29" spans="2:33" x14ac:dyDescent="0.2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row>
    <row r="30" spans="2:33" x14ac:dyDescent="0.25">
      <c r="B30" s="55" t="s">
        <v>127</v>
      </c>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row>
    <row r="31" spans="2:33" x14ac:dyDescent="0.2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row>
    <row r="32" spans="2:33" x14ac:dyDescent="0.25">
      <c r="B32" s="55" t="s">
        <v>128</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row>
    <row r="33" spans="2:33" x14ac:dyDescent="0.2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row>
    <row r="34" spans="2:33" x14ac:dyDescent="0.25">
      <c r="B34" s="3" t="s">
        <v>129</v>
      </c>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row>
    <row r="35" spans="2:33" x14ac:dyDescent="0.25">
      <c r="B35" s="3" t="s">
        <v>134</v>
      </c>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row>
    <row r="36" spans="2:33" x14ac:dyDescent="0.25">
      <c r="B36" s="3" t="s">
        <v>135</v>
      </c>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row>
    <row r="37" spans="2:33" x14ac:dyDescent="0.2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row>
    <row r="38" spans="2:33" x14ac:dyDescent="0.2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row>
    <row r="39" spans="2:33" x14ac:dyDescent="0.2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row>
    <row r="40" spans="2:33" x14ac:dyDescent="0.2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Reference Guide</vt:lpstr>
      <vt:lpstr>Task 1</vt:lpstr>
      <vt:lpstr>Task 2</vt:lpstr>
      <vt:lpstr>Task 3</vt:lpstr>
      <vt:lpstr>Task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Lancaster, Devon</dc:creator>
  <cp:keywords/>
  <dc:description/>
  <cp:lastModifiedBy>Pritam Saha</cp:lastModifiedBy>
  <dcterms:created xsi:type="dcterms:W3CDTF">2022-07-07T21:21:21Z</dcterms:created>
  <dcterms:modified xsi:type="dcterms:W3CDTF">2026-10-02T04:20:16Z</dcterms:modified>
  <cp:category/>
</cp:coreProperties>
</file>